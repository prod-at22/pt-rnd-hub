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3MFNE" sheetId="2" r:id="rId5"/>
    <sheet state="visible" name="4MFNE" sheetId="3" r:id="rId6"/>
    <sheet state="visible" name="4MMFS" sheetId="4" r:id="rId7"/>
    <sheet state="visible" name="5MMFS" sheetId="5" r:id="rId8"/>
    <sheet state="visible" name="4MHNM" sheetId="6" r:id="rId9"/>
    <sheet state="visible" name="5MHNM" sheetId="7" r:id="rId10"/>
    <sheet state="visible" name="4MHCM" sheetId="8" r:id="rId11"/>
    <sheet state="visible" name="4CACR" sheetId="9" r:id="rId12"/>
    <sheet state="visible" name="5CACR " sheetId="10" r:id="rId13"/>
    <sheet state="visible" name="4CASH" sheetId="11" r:id="rId14"/>
    <sheet state="visible" name="5CASH" sheetId="12" r:id="rId15"/>
    <sheet state="visible" name="4CAPV" sheetId="13" r:id="rId16"/>
    <sheet state="visible" name="5CAPV " sheetId="14" r:id="rId17"/>
    <sheet state="visible" name="4CHRH" sheetId="15" r:id="rId18"/>
    <sheet state="visible" name="5CHRH" sheetId="16" r:id="rId19"/>
    <sheet state="visible" name="4CVNR" sheetId="17" r:id="rId20"/>
    <sheet state="visible" name="5CVNR" sheetId="18" r:id="rId21"/>
    <sheet state="visible" name="4CDD2" sheetId="19" r:id="rId22"/>
    <sheet state="visible" name="5CDD2" sheetId="20" r:id="rId23"/>
    <sheet state="visible" name="4CSSO" sheetId="21" r:id="rId24"/>
    <sheet state="visible" name="5CSSO" sheetId="22" r:id="rId25"/>
    <sheet state="hidden" name="5CSFM" sheetId="23" r:id="rId26"/>
  </sheets>
  <definedNames/>
  <calcPr/>
  <extLst>
    <ext uri="GoogleSheetsCustomDataVersion2">
      <go:sheetsCustomData xmlns:go="http://customooxmlschemas.google.com/" r:id="rId27" roundtripDataChecksum="ihH66Fpo04EWBKK1FEulMi5gDY32MAxym833MASXsso="/>
    </ext>
  </extLst>
</workbook>
</file>

<file path=xl/sharedStrings.xml><?xml version="1.0" encoding="utf-8"?>
<sst xmlns="http://schemas.openxmlformats.org/spreadsheetml/2006/main" count="3210" uniqueCount="866">
  <si>
    <t>updated : 14/04/2026</t>
  </si>
  <si>
    <t>INDEX</t>
  </si>
  <si>
    <t>NO</t>
  </si>
  <si>
    <t>PACKAGE NAME</t>
  </si>
  <si>
    <t>DTA (PER PAX)</t>
  </si>
  <si>
    <t>TOUR CODE</t>
  </si>
  <si>
    <t>01</t>
  </si>
  <si>
    <t xml:space="preserve">3D2N Free &amp; Easy Maafushi </t>
  </si>
  <si>
    <t>NIL</t>
  </si>
  <si>
    <t>3MFNE</t>
  </si>
  <si>
    <t>02</t>
  </si>
  <si>
    <t xml:space="preserve">4D3N Free &amp; Easy Maafushi </t>
  </si>
  <si>
    <t>4MFNE</t>
  </si>
  <si>
    <t>03</t>
  </si>
  <si>
    <t>4D3N Affordable Package at Maafushi Island</t>
  </si>
  <si>
    <t>4MMFS</t>
  </si>
  <si>
    <t>04</t>
  </si>
  <si>
    <t>5D4N Affordable Package at Maafushi Island</t>
  </si>
  <si>
    <t>5MMFS</t>
  </si>
  <si>
    <t>05</t>
  </si>
  <si>
    <t>4D3N Honeymoon Package</t>
  </si>
  <si>
    <t>4MHNM</t>
  </si>
  <si>
    <t>06</t>
  </si>
  <si>
    <t>5D4N Honeymoon Package</t>
  </si>
  <si>
    <t>5MHNM</t>
  </si>
  <si>
    <t>07</t>
  </si>
  <si>
    <t>4D3N Hulhumale with Crossroad Marina</t>
  </si>
  <si>
    <t>4MHCM</t>
  </si>
  <si>
    <t>08</t>
  </si>
  <si>
    <t>4D3N Combo Island - Adaaran Club Rannalhi</t>
  </si>
  <si>
    <t>4CACR</t>
  </si>
  <si>
    <t>09</t>
  </si>
  <si>
    <t>5D4N Combo Island - Adaaran Club Rannalhi</t>
  </si>
  <si>
    <t>5CACR</t>
  </si>
  <si>
    <t>10</t>
  </si>
  <si>
    <t>4D3N Combo Island - Adaaran Select Hudhuran Fushi</t>
  </si>
  <si>
    <t>4CASH</t>
  </si>
  <si>
    <t>11</t>
  </si>
  <si>
    <t>5D4N Combo Island - Adaaran Select Hudhuran Fushi</t>
  </si>
  <si>
    <t>5CASH</t>
  </si>
  <si>
    <t>12</t>
  </si>
  <si>
    <t>4D3N Combo Island - Adaaran Prestige Vadoo</t>
  </si>
  <si>
    <t>4CAPV</t>
  </si>
  <si>
    <t>13</t>
  </si>
  <si>
    <t>5D4N Combo Island - Adaaran Prestige Vadoo</t>
  </si>
  <si>
    <t>5CAPV</t>
  </si>
  <si>
    <t>14</t>
  </si>
  <si>
    <t>4D3N Combo Island - Hard Rock Hotel</t>
  </si>
  <si>
    <t>4CHRH</t>
  </si>
  <si>
    <t>15</t>
  </si>
  <si>
    <t>5D4N Combo Island - Hard Rock Hotel</t>
  </si>
  <si>
    <t>5CHRH</t>
  </si>
  <si>
    <t>16</t>
  </si>
  <si>
    <t>4D3N Combo Island - Villa Nautica Resort Maldives</t>
  </si>
  <si>
    <t>4CVNR</t>
  </si>
  <si>
    <t>17</t>
  </si>
  <si>
    <t>5D4N Combo Island - Villa Nautica Resort Maldives</t>
  </si>
  <si>
    <t>5CVNR</t>
  </si>
  <si>
    <t>18</t>
  </si>
  <si>
    <t>4D3N Combo Island - Dusit D2 Feydhoo</t>
  </si>
  <si>
    <t>4CDD2</t>
  </si>
  <si>
    <t>19</t>
  </si>
  <si>
    <t>5D4N Combo Island - Dusit D2 Feydhoo</t>
  </si>
  <si>
    <t>5CDD2</t>
  </si>
  <si>
    <t>20</t>
  </si>
  <si>
    <t xml:space="preserve">4D3N Combo Island - Sun Siyam Olhuveli </t>
  </si>
  <si>
    <t>4CSSO</t>
  </si>
  <si>
    <t>21</t>
  </si>
  <si>
    <t xml:space="preserve">5D4N Combo Island - Sun Siyam Olhuveli </t>
  </si>
  <si>
    <t>5CSSO</t>
  </si>
  <si>
    <t>3D2N MALDIVES FREE &amp; EASY PACKAGE (MIN 2 TO GO) - MAAFUSHI ISLAND</t>
  </si>
  <si>
    <t>BOOING PERIOD : 15 APR 2026 - 31 DEC 2026 &amp; TRAVELLING PERIOD : NOW - 31 MAY 2027</t>
  </si>
  <si>
    <t>updated 14/04/2026</t>
  </si>
  <si>
    <t>CATEGORY</t>
  </si>
  <si>
    <t>HOTEL USED OR SIMILAR CLASS</t>
  </si>
  <si>
    <t>NETT PRICE PER PERSON ( RINGGIT MALAYSIA )</t>
  </si>
  <si>
    <t>DOUBLE</t>
  </si>
  <si>
    <t>TRIPLE</t>
  </si>
  <si>
    <t>CHILD W/ BED</t>
  </si>
  <si>
    <t>CHILD NO BED</t>
  </si>
  <si>
    <t>INFANT</t>
  </si>
  <si>
    <t>EXTEND  1N</t>
  </si>
  <si>
    <t>Double / Triple : 10 years old &amp; above</t>
  </si>
  <si>
    <t xml:space="preserve">Child with bed : 5 - 9 years old </t>
  </si>
  <si>
    <t>Infant :  0 - 1 years old</t>
  </si>
  <si>
    <t>Please refer us</t>
  </si>
  <si>
    <t>Child no bed : 2 - 4 years old</t>
  </si>
  <si>
    <t>2* (City view)</t>
  </si>
  <si>
    <t>3MFNE-A</t>
  </si>
  <si>
    <t>Kue Hotel / Rosemary Boutique / Salt Beach Hotel or similar class</t>
  </si>
  <si>
    <t>3* (City view)</t>
  </si>
  <si>
    <t>3MFNE-B</t>
  </si>
  <si>
    <t>Kaani Beach / Marina Seaview / Triton Beach / Kaani Village &amp; Spa or similar class</t>
  </si>
  <si>
    <t>4* (Seaview)</t>
  </si>
  <si>
    <t>3MFNE-C</t>
  </si>
  <si>
    <t>Kaani Grand Seaview / Triton Prestige Seaaview / Arena Beach / Crystal Sand or similar class</t>
  </si>
  <si>
    <t>PACKAGE INCLUDED</t>
  </si>
  <si>
    <t>PACKAGE EXCLUDED</t>
  </si>
  <si>
    <t>1) Meet and greet by local representative</t>
  </si>
  <si>
    <t>1) Domestic/International Air ticket, airport taxes &amp; porter charges</t>
  </si>
  <si>
    <t xml:space="preserve">2) 2 Nights accommodation at above selected hotels </t>
  </si>
  <si>
    <t>2) All personal expenses &amp; portage</t>
  </si>
  <si>
    <t>3) Return airport transfer by speedboat (35minutes)</t>
  </si>
  <si>
    <t>3) High season surcharge (21 Dec - 30 Apr) : RM 200/ person</t>
  </si>
  <si>
    <t>4) Welcome drinks</t>
  </si>
  <si>
    <t>4) Public Holidays surcharge applies (eg. CNY , Hari Raya) : Please refer us</t>
  </si>
  <si>
    <t>5) Meals as per itinerary</t>
  </si>
  <si>
    <t>5) Gala Dinner (24 Dec &amp; 31 Dec) : Please refer us</t>
  </si>
  <si>
    <t xml:space="preserve">6) Enjoy a 10% discount on souvenirs at selected store. </t>
  </si>
  <si>
    <t xml:space="preserve">    (Peak Season : Please check room availability before committing to guest.)</t>
  </si>
  <si>
    <r>
      <rPr>
        <rFont val="Calibri"/>
        <color theme="1"/>
        <sz val="10.0"/>
      </rPr>
      <t xml:space="preserve">7) Complimentary activities : </t>
    </r>
    <r>
      <rPr>
        <rFont val="Calibri"/>
        <b/>
        <color theme="1"/>
        <sz val="10.0"/>
      </rPr>
      <t>One time x Kayaking or Stand-up paddle</t>
    </r>
    <r>
      <rPr>
        <rFont val="Calibri"/>
        <color theme="1"/>
        <sz val="10.0"/>
      </rPr>
      <t xml:space="preserve"> (Guest stay at Maafushi only)</t>
    </r>
  </si>
  <si>
    <t xml:space="preserve">8) Handling Fees / Tipping </t>
  </si>
  <si>
    <t xml:space="preserve">9) All Taxes include GST, Service tax &amp; Tourist green tax. </t>
  </si>
  <si>
    <r>
      <rPr>
        <rFont val="Calibri"/>
        <b/>
        <color rgb="FF000000"/>
        <sz val="10.0"/>
      </rPr>
      <t xml:space="preserve">SUGGESTED ITINERARY  </t>
    </r>
    <r>
      <rPr>
        <rFont val="Calibri"/>
        <b/>
        <color rgb="FF0070C0"/>
        <sz val="10.0"/>
      </rPr>
      <t xml:space="preserve">                 </t>
    </r>
  </si>
  <si>
    <t xml:space="preserve">DAY 1 </t>
  </si>
  <si>
    <t>ARRIVE VELANA INTERNATIONAL AIRPORT - HOTEL</t>
  </si>
  <si>
    <t>(NO MEALS)</t>
  </si>
  <si>
    <t>DAY 2</t>
  </si>
  <si>
    <t>FREE AT OWN LEISURE</t>
  </si>
  <si>
    <t>(B)</t>
  </si>
  <si>
    <t xml:space="preserve"> </t>
  </si>
  <si>
    <t>DAY 3</t>
  </si>
  <si>
    <t>DEPART MALDIVES</t>
  </si>
  <si>
    <r>
      <rPr>
        <rFont val="Calibri"/>
        <b/>
        <color theme="1"/>
        <sz val="10.0"/>
      </rPr>
      <t xml:space="preserve">OPTIONAL TOURS                 </t>
    </r>
    <r>
      <rPr>
        <rFont val="Calibri"/>
        <b/>
        <color theme="1"/>
        <sz val="12.0"/>
      </rPr>
      <t xml:space="preserve"> </t>
    </r>
  </si>
  <si>
    <t>(RINGGIT MALAYSIA)</t>
  </si>
  <si>
    <t>(A)</t>
  </si>
  <si>
    <t>0800-1730</t>
  </si>
  <si>
    <t xml:space="preserve">PRIVATE ISLAND RESORT EXCURSION WITH BUFFET LUNCH (include Unlimited beverages , alcohol &amp; non-alcohol drinks) </t>
  </si>
  <si>
    <t>RM658 PER PERSON</t>
  </si>
  <si>
    <t>0730-1530</t>
  </si>
  <si>
    <t>REAL BREAK TOUR WITH LUNCH (snorkelling with nurse sharks, snorkelling at Vaavu shipwreck point, Local Island hopping, dolphin watching, stringray feeding at Fulidhoo)</t>
  </si>
  <si>
    <t>RM418 PER PERSON</t>
  </si>
  <si>
    <t>Complimentary GoPro Photos &amp; Videos during snorkelling trips</t>
  </si>
  <si>
    <t>(C)</t>
  </si>
  <si>
    <t>0800-1500</t>
  </si>
  <si>
    <t>DISCOVER WOW ATOLL WITH LUNCH (Snorkelling with nurse sharks, stringray feeding at Fulidhoo, Dolphin watching)</t>
  </si>
  <si>
    <t>RM318 PER PERSON</t>
  </si>
  <si>
    <t>(D)</t>
  </si>
  <si>
    <t>0830-1400</t>
  </si>
  <si>
    <t>ADVENTURE SNORKELLING &amp; DOLPHIN WATCHING WITH LUNCH (Snorkelling at Biyaadhoo Reef, Coral Garden &amp; Turtle Reef, dolphin watching)</t>
  </si>
  <si>
    <t>RM180 PER PERSON</t>
  </si>
  <si>
    <t>(E)</t>
  </si>
  <si>
    <t>1700-2000</t>
  </si>
  <si>
    <t>SUNSET NIGHT FISHING (Watch the Sunset, Night Fishing, Catch of the night served at Dinner)</t>
  </si>
  <si>
    <t>RM150 PER PERSON</t>
  </si>
  <si>
    <t>(F)</t>
  </si>
  <si>
    <t>CANDLE LIGHT DINNER (Seafood or Mixed Grill)</t>
  </si>
  <si>
    <t xml:space="preserve">    RM600 PER COUPLE</t>
  </si>
  <si>
    <t xml:space="preserve">BOOKING &amp; PAYMENT </t>
  </si>
  <si>
    <t>CANCELLATION POLICY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</si>
  <si>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</si>
  <si>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t xml:space="preserve">  &lt; 30 Days before arrival date</t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</si>
  <si>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</si>
  <si>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t xml:space="preserve">  15 - 29 days before arrival date</t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</si>
  <si>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</si>
  <si>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t xml:space="preserve">  0 - 14 days before arrival date</t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</si>
  <si>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</si>
  <si>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</si>
  <si>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</si>
  <si>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</si>
  <si>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</si>
  <si>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t>Step 3:</t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</si>
  <si>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</si>
  <si>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t>( UPDATED NEW ACCOUNT NUMBER )</t>
  </si>
  <si>
    <t xml:space="preserve">Bank Name </t>
  </si>
  <si>
    <t>: CIMB Berhad (Malaysia)</t>
  </si>
  <si>
    <t xml:space="preserve">Account Name </t>
  </si>
  <si>
    <t>: Island Life Travel Sdn. Bhd.</t>
  </si>
  <si>
    <t xml:space="preserve">Account Number </t>
  </si>
  <si>
    <t>: 8606 326 518</t>
  </si>
  <si>
    <t xml:space="preserve">Swift Code </t>
  </si>
  <si>
    <t>: CIBBMYKL</t>
  </si>
  <si>
    <t>Bank Address</t>
  </si>
  <si>
    <t>: Floor 13, Menara CIMB, KL Sentral, No. 2, Jalan Stesen Sentral</t>
  </si>
  <si>
    <t>TERMS &amp; CONDITIONS</t>
  </si>
  <si>
    <t>&gt;&gt; The above rates are quoted based on mentioned validity. (subject to change without prior notice)</t>
  </si>
  <si>
    <t xml:space="preserve">&gt;&gt; Reservation will be made upon confirmation of deposit received from agency. </t>
  </si>
  <si>
    <t xml:space="preserve">&gt;&gt; Hotel room's confirmation is subject to availability upon finalization of the tour. </t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</si>
  <si>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250 per person is non-refundable </t>
    </r>
    <r>
      <rPr>
        <rFont val="Calibri"/>
        <color theme="1"/>
        <sz val="10.0"/>
      </rPr>
      <t xml:space="preserve">after booking been made. </t>
    </r>
  </si>
  <si>
    <t>&gt;&gt; Refund would not entertained due to unforeseen circumstances to the country &amp; denial of immigration clearance because of any reasons upon departure.</t>
  </si>
  <si>
    <t>&gt;&gt; Any activities are subject to weather conditions and operational priorities. No refunds will be made due to bad weather or unforeseen circumstances.</t>
  </si>
  <si>
    <t>&gt;&gt; All above rates are valid for Malaysian Market Only</t>
  </si>
  <si>
    <t>&gt;&gt; Land operator reserve the right to change or alter the program and revise fares without prior notice</t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</si>
  <si>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</si>
  <si>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4D3N MALDIVES FREE &amp; EASY PACKAGE (MIN 2 TO GO) - MAAFUSHI ISLAND</t>
  </si>
  <si>
    <t>PRICE PER PERSON ( RINGGIT MALAYSIA )</t>
  </si>
  <si>
    <t>Infant :          0 - 1 years old</t>
  </si>
  <si>
    <t>4MFNE-A</t>
  </si>
  <si>
    <t>Kue Hotel / Rosemary Boutique / Salt Beach Hotel / similar class</t>
  </si>
  <si>
    <t>4MFNE-B</t>
  </si>
  <si>
    <t>4MFNE-C</t>
  </si>
  <si>
    <t xml:space="preserve">2) 3 Nights accommodation at above selected hotels </t>
  </si>
  <si>
    <r>
      <rPr>
        <rFont val="Calibri"/>
        <color theme="1"/>
        <sz val="10.0"/>
      </rPr>
      <t xml:space="preserve">7) Complimentary activities : </t>
    </r>
    <r>
      <rPr>
        <rFont val="Calibri"/>
        <b/>
        <color theme="1"/>
        <sz val="10.0"/>
      </rPr>
      <t>One time x Kayaking or Stand-up paddle</t>
    </r>
    <r>
      <rPr>
        <rFont val="Calibri"/>
        <color theme="1"/>
        <sz val="10.0"/>
      </rPr>
      <t xml:space="preserve"> (Guest stay at Maafushi only)</t>
    </r>
  </si>
  <si>
    <r>
      <rPr>
        <rFont val="Calibri"/>
        <b/>
        <color rgb="FF000000"/>
        <sz val="10.0"/>
      </rPr>
      <t xml:space="preserve">SUGGESTED ITINERARY  </t>
    </r>
    <r>
      <rPr>
        <rFont val="Calibri"/>
        <b/>
        <color rgb="FF0070C0"/>
        <sz val="10.0"/>
      </rPr>
      <t xml:space="preserve">                 </t>
    </r>
  </si>
  <si>
    <t>DAY 4</t>
  </si>
  <si>
    <t xml:space="preserve">OPTIONAL TOURS              </t>
  </si>
  <si>
    <t xml:space="preserve">PRIVATE ISLAND RESORT EXCURSION WITH LUNCH (include Unlimited beverages , alcohol &amp; non-alcohol drinks) 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</si>
  <si>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</si>
  <si>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</si>
  <si>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</si>
  <si>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</si>
  <si>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</si>
  <si>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</si>
  <si>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</si>
  <si>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</si>
  <si>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</si>
  <si>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250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</si>
  <si>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</si>
  <si>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4D3N AFFORDABLE MALDIVES PACKAGE (MIN 2 TO GO) - MAAFUSHI ISLAND</t>
  </si>
  <si>
    <t>4MMFS-A</t>
  </si>
  <si>
    <t>Kue Hotel or Rosemary Boutique or Salt Beach Hotel or similar class</t>
  </si>
  <si>
    <t>4MMFS-B</t>
  </si>
  <si>
    <t>4MMFS-C</t>
  </si>
  <si>
    <t>3) Return airport transfer by speedboat (35 minutes)</t>
  </si>
  <si>
    <r>
      <rPr>
        <rFont val="Calibri"/>
        <color rgb="FF000000"/>
        <sz val="10.0"/>
      </rPr>
      <t xml:space="preserve">6) Complimentary activities : </t>
    </r>
    <r>
      <rPr>
        <rFont val="Calibri"/>
        <b/>
        <color rgb="FF000000"/>
        <sz val="10.0"/>
      </rPr>
      <t>One time x Adventure snorkelling trip &amp; Dolphin sightseeing</t>
    </r>
  </si>
  <si>
    <r>
      <rPr>
        <rFont val="Calibri"/>
        <color rgb="FF000000"/>
        <sz val="10.0"/>
      </rPr>
      <t>7) Complimentary activities :</t>
    </r>
    <r>
      <rPr>
        <rFont val="Calibri"/>
        <b/>
        <color rgb="FF000000"/>
        <sz val="10.0"/>
      </rPr>
      <t xml:space="preserve"> One time x sunset fishing</t>
    </r>
  </si>
  <si>
    <t>8) Local guide during excursion</t>
  </si>
  <si>
    <r>
      <rPr>
        <rFont val="Calibri"/>
        <color rgb="FF000000"/>
        <sz val="10.0"/>
      </rPr>
      <t xml:space="preserve">9) Complimentary </t>
    </r>
    <r>
      <rPr>
        <rFont val="Calibri"/>
        <b/>
        <color rgb="FF000000"/>
        <sz val="10.0"/>
      </rPr>
      <t>GoPro photos &amp; videos</t>
    </r>
    <r>
      <rPr>
        <rFont val="Calibri"/>
        <color rgb="FF000000"/>
        <sz val="10.0"/>
      </rPr>
      <t xml:space="preserve"> during snorkelling trips</t>
    </r>
  </si>
  <si>
    <r>
      <rPr>
        <rFont val="Calibri"/>
        <color rgb="FF000000"/>
        <sz val="10.0"/>
      </rPr>
      <t xml:space="preserve">10) Complimentary </t>
    </r>
    <r>
      <rPr>
        <rFont val="Calibri"/>
        <b/>
        <color rgb="FF000000"/>
        <sz val="10.0"/>
      </rPr>
      <t>snorkelling gears and beach towel</t>
    </r>
  </si>
  <si>
    <r>
      <rPr>
        <rFont val="Calibri"/>
        <color rgb="FF000000"/>
        <sz val="10.0"/>
      </rPr>
      <t xml:space="preserve">11)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</t>
    </r>
  </si>
  <si>
    <t xml:space="preserve">12) Enjoy a 10% discount on souvenirs at selected store. </t>
  </si>
  <si>
    <t>13) Handling Fees / Tipping</t>
  </si>
  <si>
    <t xml:space="preserve">14) All Taxes include GST, Service tax &amp; Tourist green tax. </t>
  </si>
  <si>
    <r>
      <rPr>
        <rFont val="Calibri"/>
        <b/>
        <color rgb="FF000000"/>
        <sz val="10.0"/>
      </rPr>
      <t xml:space="preserve">SUGGESTED ITINERARY  </t>
    </r>
    <r>
      <rPr>
        <rFont val="Calibri"/>
        <b/>
        <color rgb="FF0070C0"/>
        <sz val="10.0"/>
      </rPr>
      <t xml:space="preserve">               </t>
    </r>
  </si>
  <si>
    <t>ADVENTURE SNORKELLING TRIP + DOLPHIN SIGHTSEEING</t>
  </si>
  <si>
    <t>(B / L / D)</t>
  </si>
  <si>
    <t>SUNSET FISHING</t>
  </si>
  <si>
    <t>(B / - / D)</t>
  </si>
  <si>
    <t xml:space="preserve">OPTIONAL TOURS            </t>
  </si>
  <si>
    <t>Complimentary GoPro photos &amp; Videos during snorkelling trips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</si>
  <si>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</si>
  <si>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</si>
  <si>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</si>
  <si>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</si>
  <si>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</si>
  <si>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</si>
  <si>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</si>
  <si>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</si>
  <si>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</si>
  <si>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250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</si>
  <si>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</si>
  <si>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5D4N AFFORDABLE MALDIVES PACKAGE (MIN 2 TO GO) - MAAFUSHI ISLAND</t>
  </si>
  <si>
    <t>EXTEND 1N</t>
  </si>
  <si>
    <t>5MMFS-A</t>
  </si>
  <si>
    <t>5MMFS-B</t>
  </si>
  <si>
    <t>5MMFS-C</t>
  </si>
  <si>
    <t xml:space="preserve">2) 4 Nights accommodation at above selected hotels </t>
  </si>
  <si>
    <r>
      <rPr>
        <rFont val="Calibri"/>
        <color rgb="FF000000"/>
        <sz val="10.0"/>
      </rPr>
      <t xml:space="preserve">6) Complimentary activities : </t>
    </r>
    <r>
      <rPr>
        <rFont val="Calibri"/>
        <b/>
        <color rgb="FF000000"/>
        <sz val="10.0"/>
      </rPr>
      <t>One time x Adventure snorkelling trip &amp; Dolphin sightseeing</t>
    </r>
  </si>
  <si>
    <r>
      <rPr>
        <rFont val="Calibri"/>
        <color rgb="FF000000"/>
        <sz val="10.0"/>
      </rPr>
      <t>7) Complimentary activities :</t>
    </r>
    <r>
      <rPr>
        <rFont val="Calibri"/>
        <b/>
        <color rgb="FF000000"/>
        <sz val="10.0"/>
      </rPr>
      <t xml:space="preserve"> One time x sunset fishing</t>
    </r>
  </si>
  <si>
    <r>
      <rPr>
        <rFont val="Calibri"/>
        <color rgb="FF000000"/>
        <sz val="10.0"/>
      </rPr>
      <t xml:space="preserve">9) Complimentary </t>
    </r>
    <r>
      <rPr>
        <rFont val="Calibri"/>
        <b/>
        <color rgb="FF000000"/>
        <sz val="10.0"/>
      </rPr>
      <t>GoPro photos &amp; videos</t>
    </r>
    <r>
      <rPr>
        <rFont val="Calibri"/>
        <color rgb="FF000000"/>
        <sz val="10.0"/>
      </rPr>
      <t xml:space="preserve"> during snorkelling trips</t>
    </r>
  </si>
  <si>
    <r>
      <rPr>
        <rFont val="Calibri"/>
        <color rgb="FF000000"/>
        <sz val="10.0"/>
      </rPr>
      <t xml:space="preserve">10) Complimentary </t>
    </r>
    <r>
      <rPr>
        <rFont val="Calibri"/>
        <b/>
        <color rgb="FF000000"/>
        <sz val="10.0"/>
      </rPr>
      <t>snorkelling gears and beach towel</t>
    </r>
  </si>
  <si>
    <r>
      <rPr>
        <rFont val="Calibri"/>
        <color rgb="FF000000"/>
        <sz val="10.0"/>
      </rPr>
      <t xml:space="preserve">11)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</t>
    </r>
  </si>
  <si>
    <r>
      <rPr>
        <rFont val="Calibri"/>
        <b/>
        <color theme="1"/>
        <sz val="10.0"/>
      </rPr>
      <t xml:space="preserve">SUGGESTED ITINERARY              </t>
    </r>
    <r>
      <rPr>
        <rFont val="Calibri"/>
        <b/>
        <color theme="1"/>
        <sz val="12.0"/>
      </rPr>
      <t xml:space="preserve"> </t>
    </r>
  </si>
  <si>
    <t>DAY 5</t>
  </si>
  <si>
    <t xml:space="preserve">PRIVATE ISLAND RESORT EXCURSION WITH LUNCH (include unlimited beverages , alcohol &amp; non-alcohol drinks) 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</si>
  <si>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</si>
  <si>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</si>
  <si>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</si>
  <si>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</si>
  <si>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</si>
  <si>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</si>
  <si>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</si>
  <si>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</si>
  <si>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</si>
  <si>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250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</si>
  <si>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</si>
  <si>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4D3N HONEYMOON MALDIVES PACKAGE (MIN 2 TO GO) - MAAFUSHI ISLAND</t>
  </si>
  <si>
    <t xml:space="preserve">      (Tour code : 4MHNM)</t>
  </si>
  <si>
    <t>3* (City or pool view)</t>
  </si>
  <si>
    <t>4MHNM-A</t>
  </si>
  <si>
    <t>Triton Beach Hotel or similar class</t>
  </si>
  <si>
    <t>N/A</t>
  </si>
  <si>
    <t>4MHNM-B</t>
  </si>
  <si>
    <t>Kaani Grand Seaview /Arena Beach or similar class</t>
  </si>
  <si>
    <r>
      <rPr>
        <rFont val="Calibri"/>
        <color rgb="FF000000"/>
        <sz val="10.0"/>
      </rPr>
      <t xml:space="preserve">6) One time x </t>
    </r>
    <r>
      <rPr>
        <rFont val="Calibri"/>
        <b/>
        <color rgb="FF000000"/>
        <sz val="10.0"/>
      </rPr>
      <t>Romantic candle light dinner at the beach</t>
    </r>
    <r>
      <rPr>
        <rFont val="Calibri"/>
        <color rgb="FF000000"/>
        <sz val="10.0"/>
      </rPr>
      <t xml:space="preserve">   (subject to weather condition)</t>
    </r>
  </si>
  <si>
    <r>
      <rPr>
        <rFont val="Calibri"/>
        <color rgb="FF000000"/>
        <sz val="10.0"/>
      </rPr>
      <t xml:space="preserve">7) Complimentary one time x </t>
    </r>
    <r>
      <rPr>
        <rFont val="Calibri"/>
        <b/>
        <color rgb="FF000000"/>
        <sz val="10.0"/>
      </rPr>
      <t>honeymoon bedroom decoration</t>
    </r>
  </si>
  <si>
    <r>
      <rPr>
        <rFont val="Calibri"/>
        <color rgb="FF000000"/>
        <sz val="10.0"/>
      </rPr>
      <t xml:space="preserve">8) Complimentary activities : </t>
    </r>
    <r>
      <rPr>
        <rFont val="Calibri"/>
        <b/>
        <color rgb="FF000000"/>
        <sz val="10.0"/>
      </rPr>
      <t>One time x Adventure snorkelling trip &amp; Dolphin sightseeing</t>
    </r>
  </si>
  <si>
    <t>9) Local guide during excursion</t>
  </si>
  <si>
    <r>
      <rPr>
        <rFont val="Calibri"/>
        <color rgb="FF000000"/>
        <sz val="10.0"/>
      </rPr>
      <t xml:space="preserve">10) Complimentary </t>
    </r>
    <r>
      <rPr>
        <rFont val="Calibri"/>
        <b/>
        <color rgb="FF000000"/>
        <sz val="10.0"/>
      </rPr>
      <t xml:space="preserve">GoPro photos &amp; videos </t>
    </r>
    <r>
      <rPr>
        <rFont val="Calibri"/>
        <color rgb="FF000000"/>
        <sz val="10.0"/>
      </rPr>
      <t>during snorkelling trips</t>
    </r>
  </si>
  <si>
    <r>
      <rPr>
        <rFont val="Calibri"/>
        <color rgb="FF000000"/>
        <sz val="10.0"/>
      </rPr>
      <t xml:space="preserve">11) Complimentary </t>
    </r>
    <r>
      <rPr>
        <rFont val="Calibri"/>
        <b/>
        <color rgb="FF000000"/>
        <sz val="10.0"/>
      </rPr>
      <t>snorkelling gears and beach towel</t>
    </r>
  </si>
  <si>
    <r>
      <rPr>
        <rFont val="Calibri"/>
        <color rgb="FF000000"/>
        <sz val="10.0"/>
      </rPr>
      <t xml:space="preserve">12)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</t>
    </r>
  </si>
  <si>
    <t>13) Enjoy a 10% discount on souvenirs at selected store.  (Guest stay at Maafushi only)</t>
  </si>
  <si>
    <t>14) Handling Fees / Tipping</t>
  </si>
  <si>
    <t xml:space="preserve">15) All Taxes include GST, Service tax &amp; Tourist green tax. </t>
  </si>
  <si>
    <r>
      <rPr>
        <rFont val="Calibri"/>
        <b/>
        <color rgb="FF000000"/>
        <sz val="10.0"/>
      </rPr>
      <t xml:space="preserve">SUGGESTED ITINERARY  </t>
    </r>
    <r>
      <rPr>
        <rFont val="Calibri"/>
        <b/>
        <color rgb="FF0070C0"/>
        <sz val="10.0"/>
      </rPr>
      <t xml:space="preserve">                 </t>
    </r>
  </si>
  <si>
    <r>
      <rPr>
        <rFont val="Calibri"/>
        <b/>
        <color theme="1"/>
        <sz val="10.0"/>
      </rPr>
      <t xml:space="preserve">OPTIONAL TOURS              </t>
    </r>
    <r>
      <rPr>
        <rFont val="Calibri"/>
        <b/>
        <color theme="1"/>
        <sz val="12.0"/>
      </rPr>
      <t xml:space="preserve"> </t>
    </r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</si>
  <si>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</si>
  <si>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</si>
  <si>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</si>
  <si>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</si>
  <si>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</si>
  <si>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</si>
  <si>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</si>
  <si>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</si>
  <si>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</si>
  <si>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250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</si>
  <si>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</si>
  <si>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5D4N HONEYMOON MAAFUSHI PACKAGE (MIN 2 TO GO) - MAAFUSHI ISLAND</t>
  </si>
  <si>
    <t xml:space="preserve">       (Tour code : 5MHNM)</t>
  </si>
  <si>
    <r>
      <rPr>
        <rFont val="Calibri"/>
        <color rgb="FF000000"/>
        <sz val="10.0"/>
      </rPr>
      <t xml:space="preserve">6) One time x </t>
    </r>
    <r>
      <rPr>
        <rFont val="Calibri"/>
        <b/>
        <color rgb="FF000000"/>
        <sz val="10.0"/>
      </rPr>
      <t>Romantic candle light dinner at the beach</t>
    </r>
  </si>
  <si>
    <t xml:space="preserve">   (subject to weather condition)</t>
  </si>
  <si>
    <r>
      <rPr>
        <rFont val="Calibri"/>
        <color rgb="FF000000"/>
        <sz val="10.0"/>
      </rPr>
      <t xml:space="preserve">7) Complimentary </t>
    </r>
    <r>
      <rPr>
        <rFont val="Calibri"/>
        <b/>
        <color rgb="FF000000"/>
        <sz val="10.0"/>
      </rPr>
      <t>One time x honeymoon bedroom decoration</t>
    </r>
  </si>
  <si>
    <r>
      <rPr>
        <rFont val="Calibri"/>
        <color rgb="FF000000"/>
        <sz val="10.0"/>
      </rPr>
      <t xml:space="preserve">8) Complimentary activities : </t>
    </r>
    <r>
      <rPr>
        <rFont val="Calibri"/>
        <b/>
        <color rgb="FF000000"/>
        <sz val="10.0"/>
      </rPr>
      <t>One time x Real Break Tour</t>
    </r>
  </si>
  <si>
    <r>
      <rPr>
        <rFont val="Calibri"/>
        <color rgb="FF000000"/>
        <sz val="10.0"/>
      </rPr>
      <t xml:space="preserve">10) Complimentary </t>
    </r>
    <r>
      <rPr>
        <rFont val="Calibri"/>
        <b/>
        <color rgb="FF000000"/>
        <sz val="10.0"/>
      </rPr>
      <t xml:space="preserve">GoPro photos &amp; videos </t>
    </r>
    <r>
      <rPr>
        <rFont val="Calibri"/>
        <color rgb="FF000000"/>
        <sz val="10.0"/>
      </rPr>
      <t>during snorkelling trips</t>
    </r>
  </si>
  <si>
    <r>
      <rPr>
        <rFont val="Calibri"/>
        <color rgb="FF000000"/>
        <sz val="10.0"/>
      </rPr>
      <t xml:space="preserve">11) Complimentary </t>
    </r>
    <r>
      <rPr>
        <rFont val="Calibri"/>
        <b/>
        <color rgb="FF000000"/>
        <sz val="10.0"/>
      </rPr>
      <t>snorkelling gears and beach towel</t>
    </r>
  </si>
  <si>
    <r>
      <rPr>
        <rFont val="Calibri"/>
        <color rgb="FF000000"/>
        <sz val="10.0"/>
      </rPr>
      <t xml:space="preserve">12) Complimentary </t>
    </r>
    <r>
      <rPr>
        <rFont val="Calibri"/>
        <b/>
        <color rgb="FF000000"/>
        <sz val="10.0"/>
      </rPr>
      <t>Parasailing and jet ski activities</t>
    </r>
  </si>
  <si>
    <r>
      <rPr>
        <rFont val="Calibri"/>
        <color rgb="FF000000"/>
        <sz val="10.0"/>
      </rPr>
      <t xml:space="preserve">13)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</t>
    </r>
  </si>
  <si>
    <t>14) Enjoy a 10% discount on souvenirs at selected store.  (Guest stay at Maafushi only)</t>
  </si>
  <si>
    <t>15) Handling Fees / Tipping</t>
  </si>
  <si>
    <t xml:space="preserve">16) All Taxes include GST, Service tax &amp; Tourist green tax. </t>
  </si>
  <si>
    <r>
      <rPr>
        <rFont val="Calibri"/>
        <b/>
        <color rgb="FF000000"/>
        <sz val="10.0"/>
      </rPr>
      <t xml:space="preserve">SUGGESTED ITINERARY  </t>
    </r>
    <r>
      <rPr>
        <rFont val="Calibri"/>
        <b/>
        <color rgb="FF0070C0"/>
        <sz val="10.0"/>
      </rPr>
      <t xml:space="preserve">                  </t>
    </r>
    <r>
      <rPr>
        <rFont val="Calibri"/>
        <b/>
        <color rgb="FF0070C0"/>
        <sz val="12.0"/>
      </rPr>
      <t xml:space="preserve"> </t>
    </r>
  </si>
  <si>
    <t xml:space="preserve">REAL BREAK TOUR </t>
  </si>
  <si>
    <t>PARASAILING AND JET SKI ACTIVITIES</t>
  </si>
  <si>
    <r>
      <rPr>
        <rFont val="Calibri"/>
        <b/>
        <color theme="1"/>
        <sz val="10.0"/>
      </rPr>
      <t xml:space="preserve">OPTIONAL TOURS              </t>
    </r>
    <r>
      <rPr>
        <rFont val="Calibri"/>
        <b/>
        <color theme="1"/>
        <sz val="12.0"/>
      </rPr>
      <t xml:space="preserve"> </t>
    </r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</si>
  <si>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</si>
  <si>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</si>
  <si>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</si>
  <si>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</si>
  <si>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</si>
  <si>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</si>
  <si>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</si>
  <si>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</si>
  <si>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</si>
  <si>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250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</si>
  <si>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</si>
  <si>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4D3N HULHUMALE WITH CROSSROAD MARINA PACKAGE (MIN 2 TO GO)</t>
  </si>
  <si>
    <t xml:space="preserve">   (Tour code : 4MHCM)</t>
  </si>
  <si>
    <t>3* (Deluxe room)</t>
  </si>
  <si>
    <t>Hulhumale Hotels or similar class</t>
  </si>
  <si>
    <t>TBA</t>
  </si>
  <si>
    <t>3) Return airport transfer by private car</t>
  </si>
  <si>
    <r>
      <rPr>
        <rFont val="Calibri"/>
        <color rgb="FF000000"/>
        <sz val="10.0"/>
      </rPr>
      <t xml:space="preserve">6) Complimentary activities : </t>
    </r>
    <r>
      <rPr>
        <rFont val="Calibri"/>
        <b/>
        <color rgb="FF000000"/>
        <sz val="10.0"/>
      </rPr>
      <t>One time x Adventure snorkelling trip &amp; Dolphin sightseeing</t>
    </r>
  </si>
  <si>
    <r>
      <rPr>
        <rFont val="Calibri"/>
        <color rgb="FF000000"/>
        <sz val="10.0"/>
      </rPr>
      <t xml:space="preserve">7) Complimentary </t>
    </r>
    <r>
      <rPr>
        <rFont val="Calibri"/>
        <b/>
        <color rgb="FF000000"/>
        <sz val="10.0"/>
      </rPr>
      <t xml:space="preserve">One time x Day trip to The Crossroad Marina with </t>
    </r>
  </si>
  <si>
    <t xml:space="preserve">    lunch at Saii Beach Club, Saii Lagoon Resort (5 star)</t>
  </si>
  <si>
    <r>
      <rPr>
        <rFont val="Calibri"/>
        <color rgb="FF000000"/>
        <sz val="10.0"/>
      </rPr>
      <t>9)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</t>
    </r>
  </si>
  <si>
    <r>
      <rPr>
        <rFont val="Calibri"/>
        <color rgb="FF000000"/>
        <sz val="10.0"/>
      </rPr>
      <t xml:space="preserve">10) Complimentary </t>
    </r>
    <r>
      <rPr>
        <rFont val="Calibri"/>
        <b/>
        <color rgb="FF000000"/>
        <sz val="10.0"/>
      </rPr>
      <t>snorkelling gears and beach towel</t>
    </r>
  </si>
  <si>
    <r>
      <rPr>
        <rFont val="Calibri"/>
        <color rgb="FF000000"/>
        <sz val="10.0"/>
      </rPr>
      <t xml:space="preserve">11)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</t>
    </r>
  </si>
  <si>
    <r>
      <rPr>
        <rFont val="Calibri"/>
        <b/>
        <color rgb="FF000000"/>
        <sz val="10.0"/>
      </rPr>
      <t xml:space="preserve">SUGGESTED ITINERARY  </t>
    </r>
    <r>
      <rPr>
        <rFont val="Calibri"/>
        <b/>
        <color rgb="FF0070C0"/>
        <sz val="10.0"/>
      </rPr>
      <t xml:space="preserve">                  </t>
    </r>
    <r>
      <rPr>
        <rFont val="Calibri"/>
        <b/>
        <color rgb="FF0070C0"/>
        <sz val="12.0"/>
      </rPr>
      <t xml:space="preserve"> </t>
    </r>
  </si>
  <si>
    <t>ADVENTURE SNORKELLING TRIP</t>
  </si>
  <si>
    <r>
      <rPr>
        <rFont val="Calibri"/>
        <b/>
        <color theme="1"/>
        <sz val="10.0"/>
      </rPr>
      <t xml:space="preserve">OPTIONAL TOURS              </t>
    </r>
    <r>
      <rPr>
        <rFont val="Calibri"/>
        <b/>
        <color theme="1"/>
        <sz val="12.0"/>
      </rPr>
      <t xml:space="preserve">   </t>
    </r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</si>
  <si>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</si>
  <si>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</si>
  <si>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</si>
  <si>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</si>
  <si>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</si>
  <si>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</si>
  <si>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</si>
  <si>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</si>
  <si>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</si>
  <si>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250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</si>
  <si>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</si>
  <si>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4D3N COMBO ISLAND (LOCAL ISLAND + ADAARAN CLUB RANNALHI)        (MIN 2 TO GO)</t>
  </si>
  <si>
    <t>BOOKING PERIOD : NOW - 30 APR 2026 &amp; TRAVELLING PERIOD : 01 JAN 2026 - 20 DEC 2026</t>
  </si>
  <si>
    <t>TRAVELLING PERIOD</t>
  </si>
  <si>
    <t>(Tour Code : 4CACR-A1)</t>
  </si>
  <si>
    <t>3* city view</t>
  </si>
  <si>
    <t>Maafushi or Hulhumale ~ Local island (2 nights) and</t>
  </si>
  <si>
    <t>06 APR 2026 - 07 MAY 2026</t>
  </si>
  <si>
    <t>4* Classic Ocean View</t>
  </si>
  <si>
    <t>Adaaran Club Rannalhi ~ Private island (1 night)</t>
  </si>
  <si>
    <t>08 MAY 2026 - 31 JUL 2026</t>
  </si>
  <si>
    <t>01 AUG 2026 - 31 AUG 2026</t>
  </si>
  <si>
    <t>01 SEP 2026 - 30 SEP 2026</t>
  </si>
  <si>
    <t>01 OCT 2026 - 31 OCT 2026</t>
  </si>
  <si>
    <t>01 NOV 2026 - 20 DEC 2026</t>
  </si>
  <si>
    <t>(Tour Code : 4CACR-A2)</t>
  </si>
  <si>
    <t xml:space="preserve">From 1st March 2026 , All Water Villa will be closed for renovation until further notice </t>
  </si>
  <si>
    <t>4* Water Villa</t>
  </si>
  <si>
    <t>(Tour Code : 4CACR-B1)</t>
  </si>
  <si>
    <t>Maafushi or Hulhumale ~ Local island (1 night) and</t>
  </si>
  <si>
    <t>Adaaran Club Rannalhi ~ Private island (2 nights)</t>
  </si>
  <si>
    <t>(Tour Code : 4CACR-B2)</t>
  </si>
  <si>
    <t>Adaaran  Club Rannalhi ~ Private island (2 nights)</t>
  </si>
  <si>
    <t>DISCOUNT TO AGENT (DTA) RM 200 PER PERSON</t>
  </si>
  <si>
    <t>Local 3* : Kaani Beach / Marina Seaview / Triton Beach / Kaani Village &amp; Spa or similar class</t>
  </si>
  <si>
    <t>3) Black out dates surcharge (21 Dec - 09 Jan) : Please refer us</t>
  </si>
  <si>
    <t>3) Return airport transfer by speedboat</t>
  </si>
  <si>
    <t xml:space="preserve">    (Please check room availability before committing to guest.)</t>
  </si>
  <si>
    <r>
      <rPr>
        <rFont val="Calibri"/>
        <color rgb="FF000000"/>
        <sz val="10.0"/>
      </rPr>
      <t xml:space="preserve">6) </t>
    </r>
    <r>
      <rPr>
        <rFont val="Calibri"/>
        <b/>
        <color rgb="FF000000"/>
        <sz val="10.0"/>
      </rPr>
      <t xml:space="preserve">All Inclusive Meals </t>
    </r>
    <r>
      <rPr>
        <rFont val="Calibri"/>
        <color rgb="FF000000"/>
        <sz val="10.0"/>
      </rPr>
      <t>at Adaaran Club Rannalhi</t>
    </r>
    <r>
      <rPr>
        <rFont val="Calibri"/>
        <b/>
        <color rgb="FF000000"/>
        <sz val="10.0"/>
      </rPr>
      <t xml:space="preserve"> with unlimited beverages</t>
    </r>
  </si>
  <si>
    <r>
      <rPr>
        <rFont val="Calibri"/>
        <color rgb="FF990099"/>
        <sz val="10.0"/>
      </rPr>
      <t>7) Complimentary activities :</t>
    </r>
    <r>
      <rPr>
        <rFont val="Calibri"/>
        <b/>
        <color rgb="FF990099"/>
        <sz val="10.0"/>
      </rPr>
      <t xml:space="preserve"> One time x Full day snorkelling trip &amp; Dolphin sightseeing</t>
    </r>
    <r>
      <rPr>
        <rFont val="Calibri"/>
        <color rgb="FF990099"/>
        <sz val="10.0"/>
      </rPr>
      <t xml:space="preserve"> (VALID FOR : 4CACR-A1 &amp; 4CACR-A2)</t>
    </r>
  </si>
  <si>
    <r>
      <rPr>
        <rFont val="Calibri"/>
        <b/>
        <color rgb="FFFF0000"/>
        <sz val="10.0"/>
      </rPr>
      <t>OR</t>
    </r>
    <r>
      <rPr>
        <rFont val="Calibri"/>
        <color rgb="FFFF0000"/>
        <sz val="10.0"/>
      </rPr>
      <t xml:space="preserve"> </t>
    </r>
    <r>
      <rPr>
        <rFont val="Calibri"/>
        <color rgb="FF990099"/>
        <sz val="10.0"/>
      </rPr>
      <t xml:space="preserve">Complimentary activities : </t>
    </r>
    <r>
      <rPr>
        <rFont val="Calibri"/>
        <b/>
        <color rgb="FF990099"/>
        <sz val="10.0"/>
      </rPr>
      <t xml:space="preserve">One time x Sunset Fishing </t>
    </r>
    <r>
      <rPr>
        <rFont val="Calibri"/>
        <color rgb="FF990099"/>
        <sz val="10.0"/>
      </rPr>
      <t xml:space="preserve">(depends on weather conditions)  (VALID FOR : 4CACR-B1 &amp; 4CACR-B2) </t>
    </r>
  </si>
  <si>
    <r>
      <rPr>
        <rFont val="Calibri"/>
        <color rgb="FF000000"/>
        <sz val="10.0"/>
      </rPr>
      <t xml:space="preserve">9)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 - depends on weather condition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</si>
  <si>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 (Guest stay at Maafushi only)</t>
    </r>
  </si>
  <si>
    <r>
      <rPr>
        <rFont val="Calibri"/>
        <color rgb="FF000000"/>
        <sz val="10.0"/>
      </rPr>
      <t>11) Complimentary</t>
    </r>
    <r>
      <rPr>
        <rFont val="Calibri"/>
        <b/>
        <color rgb="FF000000"/>
        <sz val="10.0"/>
      </rPr>
      <t xml:space="preserve"> snorkelling gears and beach towel</t>
    </r>
  </si>
  <si>
    <t>SUPPLEMENT CHARGES:</t>
  </si>
  <si>
    <t>12) Enjoy a 10% discount on souvenirs at selected store. (Guest stay at Maafushi only)</t>
  </si>
  <si>
    <t xml:space="preserve">1) Upgrade local island to 4 star hotel seaview room </t>
  </si>
  <si>
    <t>: RM 380/pax (4CACR-A1 &amp; A2)</t>
  </si>
  <si>
    <t>13) All Taxes include GST, Service tax &amp; Tourist green tax.</t>
  </si>
  <si>
    <t>: RM 190/pax (4CACR-B1 &amp; B2)</t>
  </si>
  <si>
    <t>2) Upgrade private island from water villa to sunset water villa category</t>
  </si>
  <si>
    <t>: RM 130/pax (4CACR-A1 &amp; A2)</t>
  </si>
  <si>
    <t>: RM 260/pax (4CACR-B1 &amp; B2)</t>
  </si>
  <si>
    <t>SUGGESTED ITINERARY :</t>
  </si>
  <si>
    <t>4CACR-A1 &amp; 4CACR-A2</t>
  </si>
  <si>
    <t>SPEEDBOAT TRSF TO MLE AIRPORT, THEN SPEEDBOAT TRSF TO ACR</t>
  </si>
  <si>
    <t>4CACR-B1 &amp; 4CACR-B2</t>
  </si>
  <si>
    <t>ARRIVE VELANA INTERNATIONAL AIRPORT - HOTEL. SUNSET FISHING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</si>
  <si>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</si>
  <si>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</si>
  <si>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</si>
  <si>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</si>
  <si>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</si>
  <si>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</si>
  <si>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</si>
  <si>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</si>
  <si>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</si>
  <si>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</si>
  <si>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</si>
  <si>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5D4N COMBO ISLAND (LOCAL ISLAND + ADAARAN CLUB RANNALHI)        (MIN 2 TO GO)</t>
  </si>
  <si>
    <t>BOOKING PERIOD : NOW - 30 APR 2026 &amp; TRAVELLING PERIOD : NOW - 20 DEC 2026</t>
  </si>
  <si>
    <t>Infant : 0 - 1 years old</t>
  </si>
  <si>
    <t>(Tour Code : 5CACR-A1)</t>
  </si>
  <si>
    <t>Maafushi or Hulhumale ~ Local island (3 nights) and</t>
  </si>
  <si>
    <t>(Tour Code : 5CACR-A2)</t>
  </si>
  <si>
    <t>(Tour Code : 5CACR-B1)</t>
  </si>
  <si>
    <t>(Tour Code : 5CACR-B2)</t>
  </si>
  <si>
    <t>Local 3* : Kaani Beach / Marina Seaview / Triton Beach / Kaani Village or similar class</t>
  </si>
  <si>
    <r>
      <rPr>
        <rFont val="Calibri"/>
        <color rgb="FF000000"/>
        <sz val="10.0"/>
      </rPr>
      <t xml:space="preserve">6) </t>
    </r>
    <r>
      <rPr>
        <rFont val="Calibri"/>
        <b/>
        <color rgb="FF000000"/>
        <sz val="10.0"/>
      </rPr>
      <t xml:space="preserve">All Inclusive Meals </t>
    </r>
    <r>
      <rPr>
        <rFont val="Calibri"/>
        <color rgb="FF000000"/>
        <sz val="10.0"/>
      </rPr>
      <t>at Adaaran Club Rannalhi</t>
    </r>
    <r>
      <rPr>
        <rFont val="Calibri"/>
        <b/>
        <color rgb="FF000000"/>
        <sz val="10.0"/>
      </rPr>
      <t xml:space="preserve"> with unlimited beverages</t>
    </r>
  </si>
  <si>
    <r>
      <rPr>
        <rFont val="Calibri"/>
        <color rgb="FF000000"/>
        <sz val="10.0"/>
      </rPr>
      <t xml:space="preserve">7) Complimentary activities : </t>
    </r>
    <r>
      <rPr>
        <rFont val="Calibri"/>
        <b/>
        <color rgb="FF000000"/>
        <sz val="10.0"/>
      </rPr>
      <t>One time x Adventure snorkelling trip &amp; Dolphin sightseeing</t>
    </r>
  </si>
  <si>
    <r>
      <rPr>
        <rFont val="Calibri"/>
        <color rgb="FF000000"/>
        <sz val="10.0"/>
      </rPr>
      <t xml:space="preserve">9)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</si>
  <si>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 (Guest stay at Maafushi only)</t>
    </r>
  </si>
  <si>
    <r>
      <rPr>
        <rFont val="Calibri"/>
        <color rgb="FF000000"/>
        <sz val="10.0"/>
      </rPr>
      <t>11) Complimentary</t>
    </r>
    <r>
      <rPr>
        <rFont val="Calibri"/>
        <b/>
        <color rgb="FF000000"/>
        <sz val="10.0"/>
      </rPr>
      <t xml:space="preserve"> snorkelling gears and beach towel</t>
    </r>
  </si>
  <si>
    <t>: RM 450/pax (5CACR-A1 &amp; A2)</t>
  </si>
  <si>
    <t>: RM 380/pax (5CACR-B1 &amp; B2)</t>
  </si>
  <si>
    <t>: RM 130/pax (5CACR-A1 &amp; A2)</t>
  </si>
  <si>
    <t>: RM 260/pax (5CACR-B1 &amp; B2)</t>
  </si>
  <si>
    <t>5CACR-A1 / A2</t>
  </si>
  <si>
    <t>5CACR-B1 / B2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</si>
  <si>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</si>
  <si>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</si>
  <si>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</si>
  <si>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</si>
  <si>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</si>
  <si>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</si>
  <si>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</si>
  <si>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</si>
  <si>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</si>
  <si>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</si>
  <si>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</si>
  <si>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4D3N COMBO ISLAND (LOCAL ISLAND + ADAARAN SELECT HUDHURAN FUSHI)      (MIN 2 TO GO)</t>
  </si>
  <si>
    <t>(Tour Code : 4CASH-A1)</t>
  </si>
  <si>
    <t>09 JAN 2026 - 05 APR 2026</t>
  </si>
  <si>
    <t>4* Garden Villa</t>
  </si>
  <si>
    <t>Adaaran Select Hudhuran Fushi ~ Private island (1 night)</t>
  </si>
  <si>
    <t>(Tour Code : 4CASH-A2)</t>
  </si>
  <si>
    <t>4* Beach Villa</t>
  </si>
  <si>
    <t>(Tour Code : 4CASH-A3)</t>
  </si>
  <si>
    <t>4* Sunrise Ocean Villa</t>
  </si>
  <si>
    <t>(Tour Code : 4CASH-B1)</t>
  </si>
  <si>
    <t>Adaaran Select Hudhuran Fushi ~ Private island (2 nights)</t>
  </si>
  <si>
    <t>(Tour Code : 4CASH-B2)</t>
  </si>
  <si>
    <t>(Tour Code : 4CASH-B3)</t>
  </si>
  <si>
    <r>
      <rPr>
        <rFont val="Calibri"/>
        <color rgb="FF000000"/>
        <sz val="10.0"/>
      </rPr>
      <t xml:space="preserve">6) </t>
    </r>
    <r>
      <rPr>
        <rFont val="Calibri"/>
        <b/>
        <color rgb="FF000000"/>
        <sz val="10.0"/>
      </rPr>
      <t xml:space="preserve">All Inclusive Meals </t>
    </r>
    <r>
      <rPr>
        <rFont val="Calibri"/>
        <color rgb="FF000000"/>
        <sz val="10.0"/>
      </rPr>
      <t>at Adaaran Select Hudhuran Fushi</t>
    </r>
    <r>
      <rPr>
        <rFont val="Calibri"/>
        <b/>
        <color rgb="FF000000"/>
        <sz val="10.0"/>
      </rPr>
      <t xml:space="preserve"> with unlimited beverages</t>
    </r>
  </si>
  <si>
    <r>
      <rPr>
        <rFont val="Calibri"/>
        <color rgb="FF990099"/>
        <sz val="10.0"/>
      </rPr>
      <t>7) Complimentary activities :</t>
    </r>
    <r>
      <rPr>
        <rFont val="Calibri"/>
        <b/>
        <color rgb="FF990099"/>
        <sz val="10.0"/>
      </rPr>
      <t xml:space="preserve"> One time x Full day snorkelling trip &amp; Dolphin sightseeing</t>
    </r>
    <r>
      <rPr>
        <rFont val="Calibri"/>
        <color rgb="FF990099"/>
        <sz val="10.0"/>
      </rPr>
      <t xml:space="preserve"> (VALID FOR : 4CASH-A1/A2/A3)</t>
    </r>
  </si>
  <si>
    <r>
      <rPr>
        <rFont val="Calibri"/>
        <b/>
        <color rgb="FFFF0000"/>
        <sz val="10.0"/>
      </rPr>
      <t>OR</t>
    </r>
    <r>
      <rPr>
        <rFont val="Calibri"/>
        <color rgb="FFFF0000"/>
        <sz val="10.0"/>
      </rPr>
      <t xml:space="preserve"> </t>
    </r>
    <r>
      <rPr>
        <rFont val="Calibri"/>
        <color rgb="FF990099"/>
        <sz val="10.0"/>
      </rPr>
      <t xml:space="preserve">Complimentary activities : </t>
    </r>
    <r>
      <rPr>
        <rFont val="Calibri"/>
        <b/>
        <color rgb="FF990099"/>
        <sz val="10.0"/>
      </rPr>
      <t xml:space="preserve">One time x Sunset Fishing </t>
    </r>
    <r>
      <rPr>
        <rFont val="Calibri"/>
        <color rgb="FF990099"/>
        <sz val="10.0"/>
      </rPr>
      <t>(depends on weather conditions)  (VALID FOR : 4CASH-B1/B2/B3)</t>
    </r>
  </si>
  <si>
    <r>
      <rPr>
        <rFont val="Calibri"/>
        <color rgb="FF000000"/>
        <sz val="10.0"/>
      </rPr>
      <t xml:space="preserve">9)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 - depends on weather condition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</si>
  <si>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 (Guest stay at Maafushi only)</t>
    </r>
  </si>
  <si>
    <r>
      <rPr>
        <rFont val="Calibri"/>
        <color rgb="FF000000"/>
        <sz val="10.0"/>
      </rPr>
      <t>11) Complimentary</t>
    </r>
    <r>
      <rPr>
        <rFont val="Calibri"/>
        <b/>
        <color rgb="FF000000"/>
        <sz val="10.0"/>
      </rPr>
      <t xml:space="preserve"> snorkelling gears and beach towel</t>
    </r>
  </si>
  <si>
    <r>
      <rPr>
        <rFont val="Calibri"/>
        <color rgb="FF000000"/>
        <sz val="10.0"/>
      </rPr>
      <t>1) Upgrade</t>
    </r>
    <r>
      <rPr>
        <rFont val="Calibri"/>
        <b/>
        <color rgb="FFFF00FF"/>
        <sz val="10.0"/>
      </rPr>
      <t xml:space="preserve"> local island to 4 star hotel seaview room </t>
    </r>
  </si>
  <si>
    <t>: RM 380/pax (4CASH-A1/A2/A3)</t>
  </si>
  <si>
    <t>: RM 190/pax (4CASH-B1/B2/B3)</t>
  </si>
  <si>
    <r>
      <rPr>
        <rFont val="Calibri"/>
        <color rgb="FF000000"/>
        <sz val="10.0"/>
      </rPr>
      <t xml:space="preserve">2) Upgrade private island </t>
    </r>
    <r>
      <rPr>
        <rFont val="Calibri"/>
        <b/>
        <color rgb="FFD60093"/>
        <sz val="10.0"/>
      </rPr>
      <t>from sunrise ocean villa to</t>
    </r>
  </si>
  <si>
    <t>: RM 90/pax (4CASH-A3)</t>
  </si>
  <si>
    <t xml:space="preserve">   sunset ocean villa</t>
  </si>
  <si>
    <t>: RM 180/pax (4CASH-B3)</t>
  </si>
  <si>
    <t>4CASH-A1 / A2 / A3)</t>
  </si>
  <si>
    <t>SPEEDBOAT TRSF TO MLE AIRPORT, THEN SPEEDBOAT TRSF TO ASH</t>
  </si>
  <si>
    <t>4CASH-B1 / B2 / B3)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</si>
  <si>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</si>
  <si>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</si>
  <si>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</si>
  <si>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</si>
  <si>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</si>
  <si>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</si>
  <si>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</si>
  <si>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</si>
  <si>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</si>
  <si>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</si>
  <si>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</si>
  <si>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5D4N COMBO ISLAND (LOCAL ISLAND + ADAARAN SELECT HUDHURAN FUSHI)      (MIN 2 TO GO)</t>
  </si>
  <si>
    <t>(Tour Code : 5CASH-A1)</t>
  </si>
  <si>
    <t>(Tour Code : 5CASH-A2)</t>
  </si>
  <si>
    <t>(Tour Code : 5CASH-A3)</t>
  </si>
  <si>
    <t>(Tour Code : 5CASH-B1)</t>
  </si>
  <si>
    <t>(Tour Code : 5CASH-B2)</t>
  </si>
  <si>
    <t>(Tour Code : 5CASH-B3)</t>
  </si>
  <si>
    <r>
      <rPr>
        <rFont val="Calibri"/>
        <color rgb="FF000000"/>
        <sz val="10.0"/>
      </rPr>
      <t xml:space="preserve">6) </t>
    </r>
    <r>
      <rPr>
        <rFont val="Calibri"/>
        <b/>
        <color rgb="FF000000"/>
        <sz val="10.0"/>
      </rPr>
      <t xml:space="preserve">All Inclusive Meals </t>
    </r>
    <r>
      <rPr>
        <rFont val="Calibri"/>
        <color rgb="FF000000"/>
        <sz val="10.0"/>
      </rPr>
      <t>at Adaaran Select Hudhuran Fushi</t>
    </r>
    <r>
      <rPr>
        <rFont val="Calibri"/>
        <b/>
        <color rgb="FF000000"/>
        <sz val="10.0"/>
      </rPr>
      <t xml:space="preserve"> with unlimited beverages</t>
    </r>
  </si>
  <si>
    <r>
      <rPr>
        <rFont val="Calibri"/>
        <color theme="1"/>
        <sz val="10.0"/>
      </rPr>
      <t>7) Complimentary activities :</t>
    </r>
    <r>
      <rPr>
        <rFont val="Calibri"/>
        <b/>
        <color theme="1"/>
        <sz val="10.0"/>
      </rPr>
      <t xml:space="preserve"> One time x Full day snorkelling trip &amp; Dolphin sightseeing</t>
    </r>
    <r>
      <rPr>
        <rFont val="Calibri"/>
        <color theme="1"/>
        <sz val="10.0"/>
      </rPr>
      <t xml:space="preserve"> </t>
    </r>
  </si>
  <si>
    <r>
      <rPr>
        <rFont val="Calibri"/>
        <color rgb="FF000000"/>
        <sz val="10.0"/>
      </rPr>
      <t xml:space="preserve">9)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 - depends on weather condition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</si>
  <si>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 (Guest stay at Maafushi only)</t>
    </r>
  </si>
  <si>
    <r>
      <rPr>
        <rFont val="Calibri"/>
        <color rgb="FF000000"/>
        <sz val="10.0"/>
      </rPr>
      <t>11) Complimentary</t>
    </r>
    <r>
      <rPr>
        <rFont val="Calibri"/>
        <b/>
        <color rgb="FF000000"/>
        <sz val="10.0"/>
      </rPr>
      <t xml:space="preserve"> snorkelling gears and beach towel</t>
    </r>
  </si>
  <si>
    <r>
      <rPr>
        <rFont val="Calibri"/>
        <color rgb="FF000000"/>
        <sz val="10.0"/>
      </rPr>
      <t>1) Upgrade</t>
    </r>
    <r>
      <rPr>
        <rFont val="Calibri"/>
        <b/>
        <color rgb="FFFF00FF"/>
        <sz val="10.0"/>
      </rPr>
      <t xml:space="preserve"> local island to 4 star hotel seaview room </t>
    </r>
  </si>
  <si>
    <t>: RM 450/pax (5CASH-A1/A2/A3)</t>
  </si>
  <si>
    <t>: RM 380/pax (5CASH-B1/B2/B3)</t>
  </si>
  <si>
    <r>
      <rPr>
        <rFont val="Calibri"/>
        <color rgb="FF000000"/>
        <sz val="10.0"/>
      </rPr>
      <t xml:space="preserve">2) Upgrade private island </t>
    </r>
    <r>
      <rPr>
        <rFont val="Calibri"/>
        <b/>
        <color rgb="FFD60093"/>
        <sz val="10.0"/>
      </rPr>
      <t>from sunrise ocean villa to</t>
    </r>
  </si>
  <si>
    <t>: RM 90/pax (5CASH-A3)</t>
  </si>
  <si>
    <t>: RM 180/pax (5CASH-B3)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</si>
  <si>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</si>
  <si>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</si>
  <si>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</si>
  <si>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</si>
  <si>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</si>
  <si>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</si>
  <si>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</si>
  <si>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</si>
  <si>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</si>
  <si>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</si>
  <si>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</si>
  <si>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4D3N COMBO ISLAND - LOCAL ISLAND + ADAARAN PRESTIGE VADOO (ADULT ISLAND)    (MIN 2 TO GO)</t>
  </si>
  <si>
    <t>(Tour Code : 4CAPV-A1)</t>
  </si>
  <si>
    <t>5* Overwater Villa</t>
  </si>
  <si>
    <t>Adaaran Prestige Vadoo ~ Private island (1 night)</t>
  </si>
  <si>
    <t>08 MAY 2026 - 31 OCT 2026</t>
  </si>
  <si>
    <t>(Tour Code : 4CAPV-A2)</t>
  </si>
  <si>
    <t>5* Sunrise Water Villa with pool &amp; jacuzzi</t>
  </si>
  <si>
    <t>(Tour Code : 4CAPV-A3)</t>
  </si>
  <si>
    <t>5* Sunset Water Villa with pool &amp; jacuzzi</t>
  </si>
  <si>
    <t>3) Black out dates surcharge (21 Dec - 10 Jan) : Please refer us</t>
  </si>
  <si>
    <r>
      <rPr>
        <rFont val="Calibri"/>
        <color rgb="FF000000"/>
        <sz val="10.0"/>
      </rPr>
      <t xml:space="preserve">6) </t>
    </r>
    <r>
      <rPr>
        <rFont val="Calibri"/>
        <b/>
        <color rgb="FF000000"/>
        <sz val="10.0"/>
      </rPr>
      <t xml:space="preserve">All Inclusive Meals </t>
    </r>
    <r>
      <rPr>
        <rFont val="Calibri"/>
        <color rgb="FF000000"/>
        <sz val="10.0"/>
      </rPr>
      <t>at Adaaran Prestige Vadoo</t>
    </r>
    <r>
      <rPr>
        <rFont val="Calibri"/>
        <b/>
        <color rgb="FF000000"/>
        <sz val="10.0"/>
      </rPr>
      <t xml:space="preserve"> with unlimited beverages</t>
    </r>
  </si>
  <si>
    <r>
      <rPr>
        <rFont val="Calibri"/>
        <color rgb="FF000000"/>
        <sz val="10.0"/>
      </rPr>
      <t xml:space="preserve">7) Complimentary activities : </t>
    </r>
    <r>
      <rPr>
        <rFont val="Calibri"/>
        <b/>
        <color rgb="FF000000"/>
        <sz val="10.0"/>
      </rPr>
      <t>One time x Adventure snorkelling trip &amp; Dolphin sightseeing</t>
    </r>
  </si>
  <si>
    <r>
      <rPr>
        <rFont val="Calibri"/>
        <color rgb="FF000000"/>
        <sz val="10.0"/>
      </rPr>
      <t xml:space="preserve">9)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</si>
  <si>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 (Guest stay at Maafushi only)</t>
    </r>
  </si>
  <si>
    <r>
      <rPr>
        <rFont val="Calibri"/>
        <color rgb="FF000000"/>
        <sz val="10.0"/>
      </rPr>
      <t>11) Complimentary</t>
    </r>
    <r>
      <rPr>
        <rFont val="Calibri"/>
        <b/>
        <color rgb="FF000000"/>
        <sz val="10.0"/>
      </rPr>
      <t xml:space="preserve"> snorkelling gears and beach towel</t>
    </r>
  </si>
  <si>
    <t>: RM 380/pax (4CAPV-A1, A2, A3)</t>
  </si>
  <si>
    <t>SPEEDBOAT TRSF TO MLE AIRPORT, THEN SPEEDBOAT TRSF TO APV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</si>
  <si>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</si>
  <si>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</si>
  <si>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</si>
  <si>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</si>
  <si>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</si>
  <si>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</si>
  <si>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</si>
  <si>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</si>
  <si>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</si>
  <si>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</si>
  <si>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</si>
  <si>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5D4N COMBO ISLAND - LOCAL ISLAND + ADAARAN PRESTIGE VADOO (ADULT ISLAND)    (MIN 2 TO GO)</t>
  </si>
  <si>
    <t>(Tour Code : 5CAPV-A1)</t>
  </si>
  <si>
    <t>Adaaran Prestige Vadoo ~ Private island (2 nights)</t>
  </si>
  <si>
    <t>(Tour Code : 5CAPV-A2)</t>
  </si>
  <si>
    <t>(Tour Code : 5CAPV-A3)</t>
  </si>
  <si>
    <r>
      <rPr>
        <rFont val="Calibri"/>
        <color rgb="FF000000"/>
        <sz val="10.0"/>
      </rPr>
      <t xml:space="preserve">6) </t>
    </r>
    <r>
      <rPr>
        <rFont val="Calibri"/>
        <b/>
        <color rgb="FF000000"/>
        <sz val="10.0"/>
      </rPr>
      <t xml:space="preserve">All Inclusive Meals </t>
    </r>
    <r>
      <rPr>
        <rFont val="Calibri"/>
        <color rgb="FF000000"/>
        <sz val="10.0"/>
      </rPr>
      <t>at Adaaran Prestige Vadoo</t>
    </r>
    <r>
      <rPr>
        <rFont val="Calibri"/>
        <b/>
        <color rgb="FF000000"/>
        <sz val="10.0"/>
      </rPr>
      <t xml:space="preserve"> with unlimited beverages</t>
    </r>
  </si>
  <si>
    <r>
      <rPr>
        <rFont val="Calibri"/>
        <color rgb="FF000000"/>
        <sz val="10.0"/>
      </rPr>
      <t xml:space="preserve">7) Complimentary activities : </t>
    </r>
    <r>
      <rPr>
        <rFont val="Calibri"/>
        <b/>
        <color rgb="FF000000"/>
        <sz val="10.0"/>
      </rPr>
      <t>One time x Adventure snorkelling trip &amp; Dolphin sightseeing</t>
    </r>
  </si>
  <si>
    <r>
      <rPr>
        <rFont val="Calibri"/>
        <color rgb="FF000000"/>
        <sz val="10.0"/>
      </rPr>
      <t xml:space="preserve">9)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</si>
  <si>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 (Guest stay at Maafushi only)</t>
    </r>
  </si>
  <si>
    <r>
      <rPr>
        <rFont val="Calibri"/>
        <color rgb="FF000000"/>
        <sz val="10.0"/>
      </rPr>
      <t>11) Complimentary</t>
    </r>
    <r>
      <rPr>
        <rFont val="Calibri"/>
        <b/>
        <color rgb="FF000000"/>
        <sz val="10.0"/>
      </rPr>
      <t xml:space="preserve"> snorkelling gears and beach towel</t>
    </r>
  </si>
  <si>
    <t>: RM 380/pax (5CAPV-A1 , A2, A3)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</si>
  <si>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</si>
  <si>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</si>
  <si>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</si>
  <si>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</si>
  <si>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</si>
  <si>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</si>
  <si>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</si>
  <si>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</si>
  <si>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</si>
  <si>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</si>
  <si>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</si>
  <si>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4D3N COMBO ISLAND (LOCAL ISLAND + HARD ROCK HOTEL)     (MIN 2 TO GO)</t>
  </si>
  <si>
    <t>(Tour Code : 4CHRH-A1)</t>
  </si>
  <si>
    <t>01 MAR 2026 - 30 APR 2026</t>
  </si>
  <si>
    <t>5* Silver Sky Studio</t>
  </si>
  <si>
    <t>Hard Rock Hotel Maldives ~ Private island (1 night)</t>
  </si>
  <si>
    <t>01 MAY 2026 - 30 SEP 2026</t>
  </si>
  <si>
    <t>(Tour Code : 4CHRH-A2)</t>
  </si>
  <si>
    <t xml:space="preserve">5* Platinum Overwater Villa </t>
  </si>
  <si>
    <t>(Tour Code : 4CHRH-A3)</t>
  </si>
  <si>
    <t>5* Platinum Overwater Pool Villa</t>
  </si>
  <si>
    <t>3) Return airport transfer by private car / Speedboat</t>
  </si>
  <si>
    <r>
      <rPr>
        <rFont val="Calibri"/>
        <color rgb="FFC00000"/>
        <sz val="10.0"/>
      </rPr>
      <t>6)</t>
    </r>
    <r>
      <rPr>
        <rFont val="Calibri"/>
        <b/>
        <color rgb="FFC00000"/>
        <sz val="10.0"/>
      </rPr>
      <t xml:space="preserve"> Full Board Meals at Hard Rock Hotel</t>
    </r>
  </si>
  <si>
    <r>
      <rPr>
        <rFont val="Calibri"/>
        <color rgb="FF000000"/>
        <sz val="10.0"/>
      </rPr>
      <t xml:space="preserve">7) Complimentary activities : </t>
    </r>
    <r>
      <rPr>
        <rFont val="Calibri"/>
        <b/>
        <color rgb="FF000000"/>
        <sz val="10.0"/>
      </rPr>
      <t>One time x Adventure snorkelling trip &amp; Dolphin sightseeing</t>
    </r>
  </si>
  <si>
    <r>
      <rPr>
        <rFont val="Calibri"/>
        <color rgb="FF000000"/>
        <sz val="10.0"/>
      </rPr>
      <t>9)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 (Guest stay at Maafushi only)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</si>
  <si>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snorkelling gears and beach towel</t>
    </r>
    <r>
      <rPr>
        <rFont val="Calibri"/>
        <color rgb="FF000000"/>
        <sz val="10.0"/>
      </rPr>
      <t xml:space="preserve"> (Guest stay at Maafushi only)</t>
    </r>
  </si>
  <si>
    <t>: RM 380/pax (4CHRH-A1, A2, A3)</t>
  </si>
  <si>
    <r>
      <rPr>
        <rFont val="Calibri"/>
        <color rgb="FF000000"/>
        <sz val="10.0"/>
      </rPr>
      <t xml:space="preserve">11)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</t>
    </r>
  </si>
  <si>
    <t xml:space="preserve">2) UPGRADE All Inclusive Meals at Hard Rock Hotel </t>
  </si>
  <si>
    <t>: RM 340/pax</t>
  </si>
  <si>
    <t>SPEEDBOAT TRSF TO MLE AIRPORT, THEN SPEEDBOAT TRSF TO HRH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</si>
  <si>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</si>
  <si>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</si>
  <si>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</si>
  <si>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</si>
  <si>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</si>
  <si>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</si>
  <si>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</si>
  <si>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</si>
  <si>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</si>
  <si>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</si>
  <si>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</si>
  <si>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5D4N COMBO ISLAND (LOCAL ISLAND + HARD ROCK HOTEL)     (MIN 2 TO GO)</t>
  </si>
  <si>
    <t>(Tour Code : 5CHRH-A1)</t>
  </si>
  <si>
    <t>Hard Rock Hotel Maldives ~ Private island (2 nights)</t>
  </si>
  <si>
    <t>(Tour Code : 5CHRH-A2)</t>
  </si>
  <si>
    <t>(Tour Code : 5CHRH-A3)</t>
  </si>
  <si>
    <r>
      <rPr>
        <rFont val="Calibri"/>
        <color rgb="FFC00000"/>
        <sz val="10.0"/>
      </rPr>
      <t>6)</t>
    </r>
    <r>
      <rPr>
        <rFont val="Calibri"/>
        <b/>
        <color rgb="FFC00000"/>
        <sz val="10.0"/>
      </rPr>
      <t xml:space="preserve"> Full Board Meals at Hard Rock Hotel</t>
    </r>
  </si>
  <si>
    <r>
      <rPr>
        <rFont val="Calibri"/>
        <color rgb="FF000000"/>
        <sz val="10.0"/>
      </rPr>
      <t xml:space="preserve">7) Complimentary activities : </t>
    </r>
    <r>
      <rPr>
        <rFont val="Calibri"/>
        <b/>
        <color rgb="FF000000"/>
        <sz val="10.0"/>
      </rPr>
      <t>One time x Adventure snorkelling trip &amp; Dolphin sightseeing</t>
    </r>
  </si>
  <si>
    <r>
      <rPr>
        <rFont val="Calibri"/>
        <color rgb="FF000000"/>
        <sz val="10.0"/>
      </rPr>
      <t>9)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 (Guest stay at Maafushih only)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</si>
  <si>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snorkelling gears and beach towel</t>
    </r>
    <r>
      <rPr>
        <rFont val="Calibri"/>
        <color rgb="FF000000"/>
        <sz val="10.0"/>
      </rPr>
      <t xml:space="preserve"> (Guest stay at Maafushi only)</t>
    </r>
  </si>
  <si>
    <r>
      <rPr>
        <rFont val="Calibri"/>
        <color rgb="FF000000"/>
        <sz val="10.0"/>
      </rPr>
      <t xml:space="preserve">11)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</t>
    </r>
  </si>
  <si>
    <t>: RM 680/pax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</si>
  <si>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</si>
  <si>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</si>
  <si>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</si>
  <si>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</si>
  <si>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</si>
  <si>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</si>
  <si>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</si>
  <si>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</si>
  <si>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</si>
  <si>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</si>
  <si>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</si>
  <si>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4D3N COMBO ISLAND - VILLA NAUTICA RESORT MALDIVES (MIN 2 TO GO)</t>
  </si>
  <si>
    <t>BOOKING PERIOD : NOW - 30 APR 2026 &amp; TRAVELLING PERIOD : NOW - 23 DEC 2026</t>
  </si>
  <si>
    <t>(Tour Code : 4CVNR-A1)</t>
  </si>
  <si>
    <t>14 APR 2026 - 10 MAY 2026</t>
  </si>
  <si>
    <t>5* Beach Villa</t>
  </si>
  <si>
    <t xml:space="preserve">Villa Nautica Resort Maldives ~ Private island (1 night) </t>
  </si>
  <si>
    <t>11 MAY 2026 - 31 JUL 2026</t>
  </si>
  <si>
    <t>01 AUG 2026 - 31 OCT 2026</t>
  </si>
  <si>
    <t>01 NOV 2026 - 23 DEC 2026</t>
  </si>
  <si>
    <t>(Tour Code : 4CVNR-A2)</t>
  </si>
  <si>
    <t>5* Sunset Beach Pool Villa</t>
  </si>
  <si>
    <t>Villa Nautica Resort Maldives ~ Private island (1 night)</t>
  </si>
  <si>
    <t>(Tour Code : 4CVNR-A3)</t>
  </si>
  <si>
    <t>5* Water Villa</t>
  </si>
  <si>
    <t>(Tour Code : 4CVNR-A4)</t>
  </si>
  <si>
    <t>5* Water Villa with Whirlpool</t>
  </si>
  <si>
    <t>3) Black out dates surcharge (24 Dec - 10 Jan) : Cannot SELL</t>
  </si>
  <si>
    <t xml:space="preserve">5) Meals as per itinerary </t>
  </si>
  <si>
    <t>5) Gala Dinner (24Dec &amp; 31Dec) : Please refer us</t>
  </si>
  <si>
    <r>
      <rPr>
        <rFont val="Calibri"/>
        <b/>
        <color rgb="FFC00000"/>
        <sz val="10.0"/>
      </rPr>
      <t xml:space="preserve">    Full Board Meals at Villa Nautica</t>
    </r>
    <r>
      <rPr>
        <rFont val="Calibri"/>
        <color rgb="FFC00000"/>
        <sz val="10.0"/>
      </rPr>
      <t xml:space="preserve"> Resort Maldives</t>
    </r>
  </si>
  <si>
    <r>
      <rPr>
        <rFont val="Calibri"/>
        <color rgb="FF000000"/>
        <sz val="10.0"/>
      </rPr>
      <t xml:space="preserve">6) Complimentary activities : </t>
    </r>
    <r>
      <rPr>
        <rFont val="Calibri"/>
        <b/>
        <color rgb="FF000000"/>
        <sz val="10.0"/>
      </rPr>
      <t>One time x Adventure snorkelling trip &amp; Dolphin sightseeing</t>
    </r>
  </si>
  <si>
    <t>7) Local guide during excursion</t>
  </si>
  <si>
    <r>
      <rPr>
        <rFont val="Calibri"/>
        <color rgb="FF000000"/>
        <sz val="10.0"/>
      </rPr>
      <t xml:space="preserve">8)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</t>
    </r>
  </si>
  <si>
    <r>
      <rPr>
        <rFont val="Calibri"/>
        <color rgb="FF000000"/>
        <sz val="10.0"/>
      </rPr>
      <t>9)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 (Guest stay at Maafushih only)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</si>
  <si>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snorkelling gears and beach towel</t>
    </r>
    <r>
      <rPr>
        <rFont val="Calibri"/>
        <color rgb="FF000000"/>
        <sz val="10.0"/>
      </rPr>
      <t xml:space="preserve"> (Guest stay at Maafushi only)</t>
    </r>
  </si>
  <si>
    <t>11) Enjoy a 10% discount on souvenirs at selected store. (Guest stay at Maafushi only)</t>
  </si>
  <si>
    <t>12) All Taxes include GST, Service tax &amp; Tourist green tax.</t>
  </si>
  <si>
    <t>: RM 380/pax (4CVNR-A1, A2, A3, A4)</t>
  </si>
  <si>
    <t>2) UPGRADE All Inclusive Meals at Villa Nautica Resort</t>
  </si>
  <si>
    <t>: RM 450/pax</t>
  </si>
  <si>
    <t>SUGGESTED ITINERARY</t>
  </si>
  <si>
    <t>SPEEDBOAT TRSF TO MLE AIRPORT, THEN SPEEDBOAT TRSF TO VNR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</si>
  <si>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</si>
  <si>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</si>
  <si>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</si>
  <si>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</si>
  <si>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</si>
  <si>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</si>
  <si>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</si>
  <si>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</si>
  <si>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</si>
  <si>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</si>
  <si>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</si>
  <si>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5D4N COMBO ISLAND - VILLA NAUTICA RESORT MALDIVES (MIN 2 TO GO)</t>
  </si>
  <si>
    <t>(Tour Code : 5CVNR-A1)</t>
  </si>
  <si>
    <t>11 JAN 2026 - 13 APR 2026</t>
  </si>
  <si>
    <t xml:space="preserve">Villa Nautica Resort Maldives ~ Private island (2 nights) </t>
  </si>
  <si>
    <t>(Tour Code : 5CVNR-A2)</t>
  </si>
  <si>
    <t>(Tour Code : 5CVNR-A3)</t>
  </si>
  <si>
    <t>(Tour Code : 5CVNR-A4)</t>
  </si>
  <si>
    <r>
      <rPr>
        <rFont val="Calibri"/>
        <b/>
        <color rgb="FFC00000"/>
        <sz val="10.0"/>
      </rPr>
      <t xml:space="preserve">    Full Board Meals at Villa Nautica</t>
    </r>
    <r>
      <rPr>
        <rFont val="Calibri"/>
        <color rgb="FFC00000"/>
        <sz val="10.0"/>
      </rPr>
      <t xml:space="preserve"> Resort Maldives</t>
    </r>
  </si>
  <si>
    <r>
      <rPr>
        <rFont val="Calibri"/>
        <color rgb="FF000000"/>
        <sz val="10.0"/>
      </rPr>
      <t xml:space="preserve">6) Complimentary activities : </t>
    </r>
    <r>
      <rPr>
        <rFont val="Calibri"/>
        <b/>
        <color rgb="FF000000"/>
        <sz val="10.0"/>
      </rPr>
      <t>One time x Adventure snorkelling trip &amp; Dolphin sightseeing</t>
    </r>
  </si>
  <si>
    <r>
      <rPr>
        <rFont val="Calibri"/>
        <color rgb="FF000000"/>
        <sz val="10.0"/>
      </rPr>
      <t xml:space="preserve">8)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</t>
    </r>
  </si>
  <si>
    <r>
      <rPr>
        <rFont val="Calibri"/>
        <color rgb="FF000000"/>
        <sz val="10.0"/>
      </rPr>
      <t>9)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 (Guest stay at Maafushih only)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</si>
  <si>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snorkelling gears and beach towel</t>
    </r>
    <r>
      <rPr>
        <rFont val="Calibri"/>
        <color rgb="FF000000"/>
        <sz val="10.0"/>
      </rPr>
      <t xml:space="preserve"> (Guest stay at Maafushi only)</t>
    </r>
  </si>
  <si>
    <t>: RM 380/pax (5CVNR-A1, A2, A3, A4)</t>
  </si>
  <si>
    <t>: RM 900/pax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</si>
  <si>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</si>
  <si>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</si>
  <si>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</si>
  <si>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</si>
  <si>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</si>
  <si>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</si>
  <si>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</si>
  <si>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</si>
  <si>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</si>
  <si>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</si>
  <si>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</si>
  <si>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4D3N COMBO ISLAND - DUSITD2 FEYDHOO MALDIVES (MIN 2 TO GO)</t>
  </si>
  <si>
    <t>BOOKING PERIOD : NOW - 30 APR 2026 &amp; TRAVELLING PERIOD : NOW - 30 SEP 2027</t>
  </si>
  <si>
    <t>(Tour Code : 4CDD2-A1)</t>
  </si>
  <si>
    <t>01 MAR 2026 - 30 SEP 2026</t>
  </si>
  <si>
    <t>01 OCT 2026 - 23 DEC 2026</t>
  </si>
  <si>
    <t>DusitD2 Feydhoo Maldives ~ Private Island (1 night)</t>
  </si>
  <si>
    <t>08 JAN 2027 - 15 APR 2027</t>
  </si>
  <si>
    <t>16 APR 2027 - 30 SEP 2027</t>
  </si>
  <si>
    <t>(Tour Code : 4CDD2-A2)</t>
  </si>
  <si>
    <t>5* Waterfront Pool Villa</t>
  </si>
  <si>
    <t>(Tour Code : 4CDD2-A3)</t>
  </si>
  <si>
    <t>5* Beach Pool Villa</t>
  </si>
  <si>
    <t>(Tour Code : 4CDD2-A4)</t>
  </si>
  <si>
    <t>5* Overwater Pool Villa</t>
  </si>
  <si>
    <t>(Tour Code : 4CDD2-B1)</t>
  </si>
  <si>
    <t>DusitD2 Feydhoo Maldives ~ Private Island (2 nights)</t>
  </si>
  <si>
    <t>(Tour Code : 4CDD2-B2)</t>
  </si>
  <si>
    <t>3) Black out dates surcharge (24 Dec - 07 Jan) : Cannot SELL</t>
  </si>
  <si>
    <r>
      <rPr>
        <rFont val="Calibri"/>
        <color rgb="FF000000"/>
        <sz val="10.0"/>
      </rPr>
      <t xml:space="preserve">6) </t>
    </r>
    <r>
      <rPr>
        <rFont val="Calibri"/>
        <b/>
        <color rgb="FF000000"/>
        <sz val="10.0"/>
      </rPr>
      <t xml:space="preserve">All Inclusive Meals </t>
    </r>
    <r>
      <rPr>
        <rFont val="Calibri"/>
        <color rgb="FF000000"/>
        <sz val="10.0"/>
      </rPr>
      <t>at DusitD2 Feydhoo Maldives</t>
    </r>
    <r>
      <rPr>
        <rFont val="Calibri"/>
        <b/>
        <color rgb="FF000000"/>
        <sz val="10.0"/>
      </rPr>
      <t xml:space="preserve"> with unlimited beverages</t>
    </r>
  </si>
  <si>
    <r>
      <rPr>
        <rFont val="Calibri"/>
        <color rgb="FF990099"/>
        <sz val="10.0"/>
      </rPr>
      <t>7) Complimentary activities :</t>
    </r>
    <r>
      <rPr>
        <rFont val="Calibri"/>
        <b/>
        <color rgb="FF990099"/>
        <sz val="10.0"/>
      </rPr>
      <t xml:space="preserve"> One time x Full day snorkelling trip &amp; Dolphin sightseeing</t>
    </r>
    <r>
      <rPr>
        <rFont val="Calibri"/>
        <color rgb="FF990099"/>
        <sz val="10.0"/>
      </rPr>
      <t xml:space="preserve"> (VALID FOR : 4CDD2-A1/A2/A3/A4)</t>
    </r>
  </si>
  <si>
    <r>
      <rPr>
        <rFont val="Calibri"/>
        <b/>
        <color rgb="FFFF0000"/>
        <sz val="10.0"/>
      </rPr>
      <t>OR</t>
    </r>
    <r>
      <rPr>
        <rFont val="Calibri"/>
        <color rgb="FFFF0000"/>
        <sz val="10.0"/>
      </rPr>
      <t xml:space="preserve"> </t>
    </r>
    <r>
      <rPr>
        <rFont val="Calibri"/>
        <color rgb="FF990099"/>
        <sz val="10.0"/>
      </rPr>
      <t xml:space="preserve">Complimentary activities : </t>
    </r>
    <r>
      <rPr>
        <rFont val="Calibri"/>
        <b/>
        <color rgb="FF990099"/>
        <sz val="10.0"/>
      </rPr>
      <t xml:space="preserve">One time x Sunset Fishing </t>
    </r>
    <r>
      <rPr>
        <rFont val="Calibri"/>
        <color rgb="FF990099"/>
        <sz val="10.0"/>
      </rPr>
      <t>(depends on weather conditions)  (VALID FOR : 4CDD2-B1/B2)</t>
    </r>
  </si>
  <si>
    <r>
      <rPr>
        <rFont val="Calibri"/>
        <color rgb="FF000000"/>
        <sz val="10.0"/>
      </rPr>
      <t xml:space="preserve">9)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 - depends on weather condition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</si>
  <si>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</t>
    </r>
  </si>
  <si>
    <r>
      <rPr>
        <rFont val="Calibri"/>
        <color rgb="FF000000"/>
        <sz val="10.0"/>
      </rPr>
      <t>11) Complimentary</t>
    </r>
    <r>
      <rPr>
        <rFont val="Calibri"/>
        <b/>
        <color rgb="FF000000"/>
        <sz val="10.0"/>
      </rPr>
      <t xml:space="preserve"> snorkelling gears and beach towel</t>
    </r>
  </si>
  <si>
    <r>
      <rPr>
        <rFont val="Calibri"/>
        <color rgb="FF000000"/>
        <sz val="10.0"/>
      </rPr>
      <t>1) Upgrade</t>
    </r>
    <r>
      <rPr>
        <rFont val="Calibri"/>
        <b/>
        <color rgb="FFFF00FF"/>
        <sz val="10.0"/>
      </rPr>
      <t xml:space="preserve"> local island to 4 star hotel seaview room </t>
    </r>
  </si>
  <si>
    <t>: RM 380/pax (4CSSO-A1/A2/A3/A4)</t>
  </si>
  <si>
    <t>: RM 190/pax (4CSSO-B1/B2)</t>
  </si>
  <si>
    <t>4CDD2-A1/ A2/ A3/ A4</t>
  </si>
  <si>
    <t>SPEEDBOAT TRSF TO MLE AIRPORT, THEN SPEEDBOAT TRSF TO DD2</t>
  </si>
  <si>
    <t>4CDD2-B1 / B2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</si>
  <si>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</si>
  <si>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</si>
  <si>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</si>
  <si>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</si>
  <si>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</si>
  <si>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</si>
  <si>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</si>
  <si>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</si>
  <si>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</si>
  <si>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</si>
  <si>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</si>
  <si>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5D4N COMBO ISLAND - DUSITD2 FEYDHOO MALDIVES (MIN 2 TO GO)</t>
  </si>
  <si>
    <t>(Tour Code : 5CDD2-A1)</t>
  </si>
  <si>
    <t>(Tour Code : 5CDD2-A2)</t>
  </si>
  <si>
    <t>(Tour Code : 5CDD2-A3)</t>
  </si>
  <si>
    <t>(Tour Code : 5CDD2-A4)</t>
  </si>
  <si>
    <t>(Tour Code : 5CDD2-B1)</t>
  </si>
  <si>
    <t>(Tour Code : 5CDD2-B2)</t>
  </si>
  <si>
    <t>(Tour Code : 5CDD2-B3)</t>
  </si>
  <si>
    <t>(Tour Code : 5CDD2-B4)</t>
  </si>
  <si>
    <r>
      <rPr>
        <rFont val="Calibri"/>
        <color rgb="FF000000"/>
        <sz val="10.0"/>
      </rPr>
      <t xml:space="preserve">6) </t>
    </r>
    <r>
      <rPr>
        <rFont val="Calibri"/>
        <b/>
        <color rgb="FF000000"/>
        <sz val="10.0"/>
      </rPr>
      <t xml:space="preserve">All Inclusive Meals </t>
    </r>
    <r>
      <rPr>
        <rFont val="Calibri"/>
        <color rgb="FF000000"/>
        <sz val="10.0"/>
      </rPr>
      <t>at DusitD2 Feydhoo Maldives</t>
    </r>
    <r>
      <rPr>
        <rFont val="Calibri"/>
        <b/>
        <color rgb="FF000000"/>
        <sz val="10.0"/>
      </rPr>
      <t xml:space="preserve"> with unlimited beverages</t>
    </r>
  </si>
  <si>
    <r>
      <rPr>
        <rFont val="Calibri"/>
        <color rgb="FF990099"/>
        <sz val="10.0"/>
      </rPr>
      <t>7) Complimentary activities :</t>
    </r>
    <r>
      <rPr>
        <rFont val="Calibri"/>
        <b/>
        <color rgb="FF990099"/>
        <sz val="10.0"/>
      </rPr>
      <t xml:space="preserve"> One time x Full day snorkelling trip &amp; Dolphin sightseeing</t>
    </r>
  </si>
  <si>
    <r>
      <rPr>
        <rFont val="Calibri"/>
        <color rgb="FF000000"/>
        <sz val="10.0"/>
      </rPr>
      <t xml:space="preserve">9)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 - depends on weather condition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</si>
  <si>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</t>
    </r>
  </si>
  <si>
    <r>
      <rPr>
        <rFont val="Calibri"/>
        <color rgb="FF000000"/>
        <sz val="10.0"/>
      </rPr>
      <t>11) Complimentary</t>
    </r>
    <r>
      <rPr>
        <rFont val="Calibri"/>
        <b/>
        <color rgb="FF000000"/>
        <sz val="10.0"/>
      </rPr>
      <t xml:space="preserve"> snorkelling gears and beach towel</t>
    </r>
  </si>
  <si>
    <r>
      <rPr>
        <rFont val="Calibri"/>
        <color rgb="FF000000"/>
        <sz val="10.0"/>
      </rPr>
      <t>1) Upgrade</t>
    </r>
    <r>
      <rPr>
        <rFont val="Calibri"/>
        <b/>
        <color rgb="FFFF00FF"/>
        <sz val="10.0"/>
      </rPr>
      <t xml:space="preserve"> local island to 4 star hotel seaview room </t>
    </r>
  </si>
  <si>
    <t>: RM 380/pax (5CDD2-A1/A2/A3/A4)</t>
  </si>
  <si>
    <t>: RM 450/pax (5CDD2-B1/B2/B3/B4)</t>
  </si>
  <si>
    <t>5CDD2-A1/ A2/ A3/ A4</t>
  </si>
  <si>
    <t>5CDD2-B1/ B2/ B3/ B4</t>
  </si>
  <si>
    <t>(B / D)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</si>
  <si>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</si>
  <si>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</si>
  <si>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</si>
  <si>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</si>
  <si>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</si>
  <si>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</si>
  <si>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</si>
  <si>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</si>
  <si>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</si>
  <si>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</si>
  <si>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</si>
  <si>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4D3N COMBO ISLAND - SUN SIYAM OLHUVELI (MIN 2 TO GO)</t>
  </si>
  <si>
    <t>(Tour Code : 4CSSO-A1)</t>
  </si>
  <si>
    <t>12 APR 2026 - 30 SEP 2026</t>
  </si>
  <si>
    <t>4* Beach Pavilion</t>
  </si>
  <si>
    <t>Sun Siyam Olhuveli ~ Private Island (1 night)</t>
  </si>
  <si>
    <t>(Tour Code : 4CSSO-A2)</t>
  </si>
  <si>
    <t>4* Grand Beach Villa with Pool</t>
  </si>
  <si>
    <t>(Tour Code : 4CSSO-A3)</t>
  </si>
  <si>
    <t>(Tour Code : 4CSSO-A4)</t>
  </si>
  <si>
    <t>4* Grand Water Villa with Pool</t>
  </si>
  <si>
    <t>(Tour Code : 4CSSO-B1)</t>
  </si>
  <si>
    <t>Sun Siyam Olhuveli ~ Private Island (2 nights)</t>
  </si>
  <si>
    <t>(Tour Code : 4CSSO-B2)</t>
  </si>
  <si>
    <t>3) Black out dates surcharge (21 Dec - 07 Jan) : Cannot SELL</t>
  </si>
  <si>
    <r>
      <rPr>
        <rFont val="Calibri"/>
        <color rgb="FF000000"/>
        <sz val="10.0"/>
      </rPr>
      <t xml:space="preserve">6) </t>
    </r>
    <r>
      <rPr>
        <rFont val="Calibri"/>
        <b/>
        <color rgb="FF000000"/>
        <sz val="10.0"/>
      </rPr>
      <t xml:space="preserve">Full Board Meals </t>
    </r>
    <r>
      <rPr>
        <rFont val="Calibri"/>
        <color rgb="FF000000"/>
        <sz val="10.0"/>
      </rPr>
      <t>at Sun Siyam Olhuveli</t>
    </r>
  </si>
  <si>
    <r>
      <rPr>
        <rFont val="Calibri"/>
        <color rgb="FF990099"/>
        <sz val="10.0"/>
      </rPr>
      <t>7) Complimentary activities :</t>
    </r>
    <r>
      <rPr>
        <rFont val="Calibri"/>
        <b/>
        <color rgb="FF990099"/>
        <sz val="10.0"/>
      </rPr>
      <t xml:space="preserve"> One time x Full day snorkelling trip &amp; Dolphin sightseeing</t>
    </r>
    <r>
      <rPr>
        <rFont val="Calibri"/>
        <color rgb="FF990099"/>
        <sz val="10.0"/>
      </rPr>
      <t xml:space="preserve"> (VALID FOR : 4CSSO-A1/A2/A3/A4)</t>
    </r>
  </si>
  <si>
    <r>
      <rPr>
        <rFont val="Calibri"/>
        <b/>
        <color rgb="FFFF0000"/>
        <sz val="10.0"/>
      </rPr>
      <t>OR</t>
    </r>
    <r>
      <rPr>
        <rFont val="Calibri"/>
        <color rgb="FFFF0000"/>
        <sz val="10.0"/>
      </rPr>
      <t xml:space="preserve"> </t>
    </r>
    <r>
      <rPr>
        <rFont val="Calibri"/>
        <color rgb="FF990099"/>
        <sz val="10.0"/>
      </rPr>
      <t xml:space="preserve">Complimentary activities : </t>
    </r>
    <r>
      <rPr>
        <rFont val="Calibri"/>
        <b/>
        <color rgb="FF990099"/>
        <sz val="10.0"/>
      </rPr>
      <t xml:space="preserve">One time x Sunset Fishing </t>
    </r>
    <r>
      <rPr>
        <rFont val="Calibri"/>
        <color rgb="FF990099"/>
        <sz val="10.0"/>
      </rPr>
      <t>(depends on weather conditions)  (VALID FOR : SCSSO-B1/B2)</t>
    </r>
  </si>
  <si>
    <r>
      <rPr>
        <rFont val="Calibri"/>
        <color rgb="FF000000"/>
        <sz val="10.0"/>
      </rPr>
      <t xml:space="preserve">9)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 - depends on weather condition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</si>
  <si>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</t>
    </r>
  </si>
  <si>
    <r>
      <rPr>
        <rFont val="Calibri"/>
        <color rgb="FF000000"/>
        <sz val="10.0"/>
      </rPr>
      <t>11) Complimentary</t>
    </r>
    <r>
      <rPr>
        <rFont val="Calibri"/>
        <b/>
        <color rgb="FF000000"/>
        <sz val="10.0"/>
      </rPr>
      <t xml:space="preserve"> snorkelling gears and beach towel</t>
    </r>
  </si>
  <si>
    <r>
      <rPr>
        <rFont val="Calibri"/>
        <color rgb="FF000000"/>
        <sz val="10.0"/>
      </rPr>
      <t>1) Upgrade</t>
    </r>
    <r>
      <rPr>
        <rFont val="Calibri"/>
        <b/>
        <color rgb="FFFF00FF"/>
        <sz val="10.0"/>
      </rPr>
      <t xml:space="preserve"> local island to 4 star hotel seaview room </t>
    </r>
  </si>
  <si>
    <t>2) UPGRADE All Inclusive Meals at Sun Siyam Olhuveli</t>
  </si>
  <si>
    <t>: RM 360/pax (1N) or RM 720/pax (2N)</t>
  </si>
  <si>
    <t>4CSSO-A1/ A2/ A3/ A4</t>
  </si>
  <si>
    <t>SPEEDBOAT TRSF TO MLE AIRPORT, THEN SPEEDBOAT TRSF TO SSO</t>
  </si>
  <si>
    <t>4CSSO-B1 / B2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</si>
  <si>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</si>
  <si>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</si>
  <si>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</si>
  <si>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</si>
  <si>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</si>
  <si>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</si>
  <si>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</si>
  <si>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</si>
  <si>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</si>
  <si>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</si>
  <si>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</si>
  <si>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5D4N COMBO ISLAND - SUN SIYAM OLHUVELI (MIN 2 TO GO)</t>
  </si>
  <si>
    <t>(Tour Code : 5CSSO-A1)</t>
  </si>
  <si>
    <t>(Tour Code : 5CSSO-A2)</t>
  </si>
  <si>
    <t>(Tour Code : 5CSSO-A3)</t>
  </si>
  <si>
    <t>(Tour Code : 5CSSO-A4)</t>
  </si>
  <si>
    <t>(Tour Code : 5CSSO-B1)</t>
  </si>
  <si>
    <t>(Tour Code : 5CSSO-B2)</t>
  </si>
  <si>
    <t>(Tour Code : 5CSSO-B3)</t>
  </si>
  <si>
    <t>(Tour Code : 5CSSO-B4)</t>
  </si>
  <si>
    <r>
      <rPr>
        <rFont val="Calibri"/>
        <color rgb="FF000000"/>
        <sz val="10.0"/>
      </rPr>
      <t xml:space="preserve">6) </t>
    </r>
    <r>
      <rPr>
        <rFont val="Calibri"/>
        <b/>
        <color rgb="FF000000"/>
        <sz val="10.0"/>
      </rPr>
      <t xml:space="preserve">Full Board Meals </t>
    </r>
    <r>
      <rPr>
        <rFont val="Calibri"/>
        <color rgb="FF000000"/>
        <sz val="10.0"/>
      </rPr>
      <t>at Sun Siyam Olhuveli</t>
    </r>
  </si>
  <si>
    <r>
      <rPr>
        <rFont val="Calibri"/>
        <color rgb="FF990099"/>
        <sz val="10.0"/>
      </rPr>
      <t>7) Complimentary activities :</t>
    </r>
    <r>
      <rPr>
        <rFont val="Calibri"/>
        <b/>
        <color rgb="FF990099"/>
        <sz val="10.0"/>
      </rPr>
      <t xml:space="preserve"> One time x Full day snorkelling trip &amp; Dolphin sightseeing</t>
    </r>
  </si>
  <si>
    <r>
      <rPr>
        <rFont val="Calibri"/>
        <color rgb="FF000000"/>
        <sz val="10.0"/>
      </rPr>
      <t xml:space="preserve">9)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 - depends on weather condition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</si>
  <si>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</t>
    </r>
  </si>
  <si>
    <r>
      <rPr>
        <rFont val="Calibri"/>
        <color rgb="FF000000"/>
        <sz val="10.0"/>
      </rPr>
      <t>11) Complimentary</t>
    </r>
    <r>
      <rPr>
        <rFont val="Calibri"/>
        <b/>
        <color rgb="FF000000"/>
        <sz val="10.0"/>
      </rPr>
      <t xml:space="preserve"> snorkelling gears and beach towel</t>
    </r>
  </si>
  <si>
    <r>
      <rPr>
        <rFont val="Calibri"/>
        <color rgb="FF000000"/>
        <sz val="10.0"/>
      </rPr>
      <t>1) Upgrade</t>
    </r>
    <r>
      <rPr>
        <rFont val="Calibri"/>
        <b/>
        <color rgb="FFFF00FF"/>
        <sz val="10.0"/>
      </rPr>
      <t xml:space="preserve"> local island to 4 star hotel seaview room </t>
    </r>
  </si>
  <si>
    <t>: RM 450/pax (5CSSO-A1/A2/A3/A4)</t>
  </si>
  <si>
    <t>: RM 380/pax (5CSSO-B1/B2/B3/B4)</t>
  </si>
  <si>
    <t>5CSSO-A1/ A2/ A3/ A4</t>
  </si>
  <si>
    <t>5CSSO-B1/ B2/ B3/ B4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</si>
  <si>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</si>
  <si>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</si>
  <si>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</si>
  <si>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</si>
  <si>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</si>
  <si>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</si>
  <si>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</si>
  <si>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</si>
  <si>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</si>
  <si>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</si>
  <si>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</si>
  <si>
    <t>5D4N COMBO ISLAND - SHERATON MALDIVES FULL MOON RESORT (MIN 2 TO GO)</t>
  </si>
  <si>
    <t>BOOKING PERIOD : NOW - 30 NOV 2025 &amp; TRAVELLING PERIOD : 01 NOV 2025 - 30 SEP 2026</t>
  </si>
  <si>
    <t>updated 07/01/2026</t>
  </si>
  <si>
    <t>(Tour Code : 5CSFM-A1(HB)</t>
  </si>
  <si>
    <t>01 NOV 2025 - 25 DEC 2025</t>
  </si>
  <si>
    <t>09 JAN 2026 - 30 APR 2026</t>
  </si>
  <si>
    <t>5* Deluxe Room</t>
  </si>
  <si>
    <r>
      <rPr>
        <rFont val="Calibri"/>
        <i/>
        <color theme="1"/>
        <sz val="10.0"/>
      </rPr>
      <t xml:space="preserve">Sheraton Maldives Full Moon ~ Private Island (2 nights) - </t>
    </r>
    <r>
      <rPr>
        <rFont val="Calibri"/>
        <i/>
        <color rgb="FFFF0000"/>
        <sz val="10.0"/>
      </rPr>
      <t>Half Board Meal</t>
    </r>
  </si>
  <si>
    <t>(Tour Code : 5CSFM-A2(FB)</t>
  </si>
  <si>
    <r>
      <rPr>
        <rFont val="Calibri"/>
        <i/>
        <color theme="1"/>
        <sz val="10.0"/>
      </rPr>
      <t xml:space="preserve">Sheraton Maldives Full Moon ~ Private Island (2 nights) - </t>
    </r>
    <r>
      <rPr>
        <rFont val="Calibri"/>
        <i/>
        <color rgb="FFFF0000"/>
        <sz val="10.0"/>
      </rPr>
      <t>Full Board Meal</t>
    </r>
  </si>
  <si>
    <t>(Tour Code : 5CSFM-A3(AI)</t>
  </si>
  <si>
    <r>
      <rPr>
        <rFont val="Calibri"/>
        <i/>
        <color theme="1"/>
        <sz val="10.0"/>
      </rPr>
      <t xml:space="preserve">Sheraton Maldives Full Moon ~ Private Island (2 nights) - </t>
    </r>
    <r>
      <rPr>
        <rFont val="Calibri"/>
        <i/>
        <color rgb="FFFF0000"/>
        <sz val="10.0"/>
      </rPr>
      <t>All Inclusive Meal</t>
    </r>
  </si>
  <si>
    <t>(Tour Code : 5CSFM-B1(HB)</t>
  </si>
  <si>
    <r>
      <rPr>
        <rFont val="Calibri"/>
        <i/>
        <color theme="1"/>
        <sz val="10.0"/>
      </rPr>
      <t xml:space="preserve">Sheraton Maldives Full Moon ~ Private Island (2 nights) - </t>
    </r>
    <r>
      <rPr>
        <rFont val="Calibri"/>
        <i/>
        <color rgb="FFFF0000"/>
        <sz val="10.0"/>
      </rPr>
      <t>Half Board Meal</t>
    </r>
  </si>
  <si>
    <t>(Tour Code : 5CSFM-B2(FB)</t>
  </si>
  <si>
    <r>
      <rPr>
        <rFont val="Calibri"/>
        <i/>
        <color theme="1"/>
        <sz val="10.0"/>
      </rPr>
      <t xml:space="preserve">Sheraton Maldives Full Moon ~ Private Island (2 nights) - </t>
    </r>
    <r>
      <rPr>
        <rFont val="Calibri"/>
        <i/>
        <color rgb="FFFF0000"/>
        <sz val="10.0"/>
      </rPr>
      <t>Full Board Meal</t>
    </r>
  </si>
  <si>
    <t>(Tour Code : 5CSFM-B3(AI)</t>
  </si>
  <si>
    <r>
      <rPr>
        <rFont val="Calibri"/>
        <i/>
        <color theme="1"/>
        <sz val="10.0"/>
      </rPr>
      <t xml:space="preserve">Sheraton Maldives Full Moon ~ Private Island (2 nights) - </t>
    </r>
    <r>
      <rPr>
        <rFont val="Calibri"/>
        <i/>
        <color rgb="FFFF0000"/>
        <sz val="10.0"/>
      </rPr>
      <t>All Inclusive Meal</t>
    </r>
  </si>
  <si>
    <t>5) Local Island : Half Board Meals &amp; Private Resorts : As mentioned above</t>
  </si>
  <si>
    <r>
      <rPr>
        <rFont val="Calibri"/>
        <color rgb="FF000000"/>
        <sz val="10.0"/>
      </rPr>
      <t>6) Complimentary activities :</t>
    </r>
    <r>
      <rPr>
        <rFont val="Calibri"/>
        <b/>
        <color rgb="FF000000"/>
        <sz val="10.0"/>
      </rPr>
      <t xml:space="preserve"> </t>
    </r>
    <r>
      <rPr>
        <rFont val="Calibri"/>
        <b/>
        <color rgb="FF7030A0"/>
        <sz val="10.0"/>
      </rPr>
      <t>One time x Full day snorkelling trip &amp; Dolphin sightseeing</t>
    </r>
    <r>
      <rPr>
        <rFont val="Calibri"/>
        <color rgb="FF7030A0"/>
        <sz val="10.0"/>
      </rPr>
      <t xml:space="preserve"> </t>
    </r>
    <r>
      <rPr>
        <rFont val="Calibri"/>
        <b/>
        <color rgb="FF7030A0"/>
        <sz val="10.0"/>
      </rPr>
      <t xml:space="preserve">with lunch OR </t>
    </r>
  </si>
  <si>
    <r>
      <rPr>
        <rFont val="Calibri"/>
        <color rgb="FF000000"/>
        <sz val="10.0"/>
      </rPr>
      <t xml:space="preserve">     Complimentary activities : </t>
    </r>
    <r>
      <rPr>
        <rFont val="Calibri"/>
        <b/>
        <color rgb="FF7030A0"/>
        <sz val="10.0"/>
      </rPr>
      <t xml:space="preserve">Sunset Fishing </t>
    </r>
    <r>
      <rPr>
        <rFont val="Calibri"/>
        <color rgb="FF000000"/>
        <sz val="10.0"/>
      </rPr>
      <t>(depends on weather conditions)</t>
    </r>
  </si>
  <si>
    <r>
      <rPr>
        <rFont val="Calibri"/>
        <color rgb="FF000000"/>
        <sz val="10.0"/>
      </rPr>
      <t xml:space="preserve">8) Complimentary activities : </t>
    </r>
    <r>
      <rPr>
        <rFont val="Calibri"/>
        <b/>
        <color rgb="FF000000"/>
        <sz val="10.0"/>
      </rPr>
      <t xml:space="preserve">One time x Kayaking or Stand-up paddle </t>
    </r>
    <r>
      <rPr>
        <rFont val="Calibri"/>
        <color rgb="FF000000"/>
        <sz val="10.0"/>
      </rPr>
      <t>(Guest stay at Maafushi only) - depends on weather condition</t>
    </r>
  </si>
  <si>
    <r>
      <rPr>
        <rFont val="Calibri"/>
        <color rgb="FF000000"/>
        <sz val="10.0"/>
      </rPr>
      <t>9) Complimentary</t>
    </r>
    <r>
      <rPr>
        <rFont val="Calibri"/>
        <b/>
        <color rgb="FF000000"/>
        <sz val="10.0"/>
      </rPr>
      <t xml:space="preserve"> GoPro photos &amp; videos</t>
    </r>
    <r>
      <rPr>
        <rFont val="Calibri"/>
        <color rgb="FF000000"/>
        <sz val="10.0"/>
      </rPr>
      <t xml:space="preserve"> during snorkelling trips</t>
    </r>
  </si>
  <si>
    <r>
      <rPr>
        <rFont val="Calibri"/>
        <color rgb="FF000000"/>
        <sz val="10.0"/>
      </rPr>
      <t>10) Complimentary</t>
    </r>
    <r>
      <rPr>
        <rFont val="Calibri"/>
        <b/>
        <color rgb="FF000000"/>
        <sz val="10.0"/>
      </rPr>
      <t xml:space="preserve"> snorkelling gears and beach towel</t>
    </r>
  </si>
  <si>
    <t xml:space="preserve">: RM 380/pax </t>
  </si>
  <si>
    <t>12) Private Resorts Add Ons:</t>
  </si>
  <si>
    <t xml:space="preserve">Complimentary 30 Minutes photo session with 1 free printed picture </t>
  </si>
  <si>
    <t>Complimentary snorkeling equipment</t>
  </si>
  <si>
    <t>Complimentary canoes and stand-up paddle boats</t>
  </si>
  <si>
    <t xml:space="preserve">Complimentary access to Fitness Centre and Tennis Court </t>
  </si>
  <si>
    <t xml:space="preserve">SPEEDBOAT TRSF TO MLE AIRPORT, THEN SPEEDBOAT TRSF TO </t>
  </si>
  <si>
    <t>MEALS AS PER ABOVE (HB / FB / AI)</t>
  </si>
  <si>
    <t>PRIVATE ISLAND</t>
  </si>
  <si>
    <r>
      <rPr>
        <rFont val="Calibri"/>
        <b/>
        <color rgb="FF000000"/>
        <sz val="10.0"/>
      </rPr>
      <t>Step 1:</t>
    </r>
    <r>
      <rPr>
        <rFont val="Calibri"/>
        <color rgb="FF000000"/>
        <sz val="10.0"/>
      </rPr>
      <t xml:space="preserve"> Kindly sent us by e-mail </t>
    </r>
    <r>
      <rPr>
        <rFont val="Calibri"/>
        <color rgb="FF0000FF"/>
        <sz val="10.0"/>
      </rPr>
      <t xml:space="preserve">( </t>
    </r>
    <r>
      <rPr>
        <rFont val="Calibri"/>
        <b/>
        <color rgb="FF0000FF"/>
        <sz val="10.0"/>
      </rPr>
      <t>naza@islandlife.travel &amp; info.my@islandlife.travel</t>
    </r>
    <r>
      <rPr>
        <rFont val="Calibri"/>
        <color rgb="FF0000FF"/>
        <sz val="10.0"/>
      </rPr>
      <t xml:space="preserve"> )</t>
    </r>
    <r>
      <rPr>
        <rFont val="Calibri"/>
        <color rgb="FF000000"/>
        <sz val="10.0"/>
      </rPr>
      <t xml:space="preserve"> </t>
    </r>
  </si>
  <si>
    <r>
      <rPr>
        <rFont val="Calibri"/>
        <color rgb="FF000000"/>
        <sz val="10.0"/>
      </rPr>
      <t xml:space="preserve">or </t>
    </r>
    <r>
      <rPr>
        <rFont val="Calibri"/>
        <b/>
        <color rgb="FF000000"/>
        <sz val="10.0"/>
      </rPr>
      <t>Whatsapp (+6012 470 5066)</t>
    </r>
  </si>
  <si>
    <r>
      <rPr>
        <rFont val="Calibri"/>
        <b/>
        <color rgb="FF000000"/>
        <sz val="10.0"/>
      </rPr>
      <t>Step 2</t>
    </r>
    <r>
      <rPr>
        <rFont val="Calibri"/>
        <color rgb="FF000000"/>
        <sz val="10.0"/>
      </rPr>
      <t>: Please provide us full information as follows: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</si>
  <si>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Guest Name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</si>
  <si>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No. of adult / child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</si>
  <si>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Date of travelling / flight details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</si>
  <si>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room (eg : double bed, twin bed, family room)</t>
    </r>
  </si>
  <si>
    <r>
      <rPr>
        <rFont val="Calibri"/>
        <color rgb="FF415588"/>
        <sz val="10.0"/>
      </rPr>
      <t>∙</t>
    </r>
    <r>
      <rPr>
        <rFont val="Calibri"/>
        <color rgb="FF000000"/>
        <sz val="10.0"/>
      </rPr>
      <t>Type of package (eg : free &amp; easy, budget, economy, premium)</t>
    </r>
  </si>
  <si>
    <r>
      <rPr>
        <rFont val="Calibri"/>
        <color rgb="FF000000"/>
        <sz val="10.0"/>
      </rPr>
      <t xml:space="preserve">Please make payment to </t>
    </r>
    <r>
      <rPr>
        <rFont val="Calibri"/>
        <b/>
        <color rgb="FFFF0000"/>
        <sz val="10.0"/>
      </rPr>
      <t xml:space="preserve">: </t>
    </r>
  </si>
  <si>
    <t>: Island Life Services</t>
  </si>
  <si>
    <t>: 8605 248 468</t>
  </si>
  <si>
    <r>
      <rPr>
        <rFont val="Calibri"/>
        <color theme="1"/>
        <sz val="10.0"/>
      </rPr>
      <t>&gt;&gt; The above rates are quoted based on 01 Oct 2025 - 31 Oct 2025</t>
    </r>
    <r>
      <rPr>
        <rFont val="Calibri"/>
        <b/>
        <color theme="1"/>
        <sz val="10.0"/>
      </rPr>
      <t xml:space="preserve"> </t>
    </r>
    <r>
      <rPr>
        <rFont val="Calibri"/>
        <color theme="1"/>
        <sz val="10.0"/>
      </rPr>
      <t>(subject to change without prior notice)</t>
    </r>
  </si>
  <si>
    <r>
      <rPr>
        <rFont val="Calibri"/>
        <color theme="1"/>
        <sz val="10.0"/>
      </rPr>
      <t xml:space="preserve">&gt;&gt; </t>
    </r>
    <r>
      <rPr>
        <rFont val="Calibri"/>
        <b/>
        <color theme="1"/>
        <sz val="10.0"/>
      </rPr>
      <t xml:space="preserve">Deposit RM 500 per person is non-refundable </t>
    </r>
    <r>
      <rPr>
        <rFont val="Calibri"/>
        <color theme="1"/>
        <sz val="10.0"/>
      </rPr>
      <t xml:space="preserve">after booking been made. </t>
    </r>
  </si>
  <si>
    <r>
      <rPr>
        <rFont val="Calibri"/>
        <color theme="1"/>
        <sz val="10.0"/>
      </rPr>
      <t xml:space="preserve">&gt;&gt; We act only as your agent to provide Maldives packages service providers. We shall not in any circumstances be held liable for and will </t>
    </r>
    <r>
      <rPr>
        <rFont val="Calibri"/>
        <b/>
        <color theme="1"/>
        <sz val="10.0"/>
      </rPr>
      <t>not accept responsibility or liability</t>
    </r>
    <r>
      <rPr>
        <rFont val="Calibri"/>
        <color theme="1"/>
        <sz val="10.0"/>
      </rPr>
      <t xml:space="preserve"> for the acts, omissions, defaults on these service providers and government change of regulations.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</si>
</sst>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M&quot;#,##0;[Red]\-&quot;RM&quot;#,##0"/>
  </numFmts>
  <fonts count="44">
    <font>
      <sz val="10.0"/>
      <color rgb="FF000000"/>
      <name val="Times New Roman"/>
      <scheme val="minor"/>
    </font>
    <font>
      <sz val="14.0"/>
      <color rgb="FF000000"/>
      <name val="Calibri"/>
    </font>
    <font>
      <i/>
      <sz val="12.0"/>
      <color rgb="FF953734"/>
      <name val="Calibri"/>
    </font>
    <font>
      <b/>
      <sz val="28.0"/>
      <color rgb="FF000000"/>
      <name val="Calibri"/>
    </font>
    <font/>
    <font>
      <b/>
      <sz val="14.0"/>
      <color rgb="FF000000"/>
      <name val="Calibri"/>
    </font>
    <font>
      <sz val="14.0"/>
      <color theme="0"/>
      <name val="Calibri"/>
    </font>
    <font>
      <sz val="14.0"/>
      <color theme="1"/>
      <name val="Calibri"/>
    </font>
    <font>
      <sz val="10.0"/>
      <color rgb="FF000000"/>
      <name val="Calibri"/>
    </font>
    <font>
      <b/>
      <sz val="13.0"/>
      <color rgb="FF000000"/>
      <name val="Calibri"/>
    </font>
    <font>
      <b/>
      <sz val="11.0"/>
      <color theme="0"/>
      <name val="Calibri"/>
    </font>
    <font>
      <i/>
      <sz val="9.0"/>
      <color rgb="FF000000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i/>
      <sz val="10.0"/>
      <color rgb="FF0070C0"/>
      <name val="Calibri"/>
    </font>
    <font>
      <sz val="8.0"/>
      <color rgb="FF000000"/>
      <name val="Calibri"/>
    </font>
    <font>
      <i/>
      <sz val="10.0"/>
      <color theme="1"/>
      <name val="Calibri"/>
    </font>
    <font>
      <b/>
      <sz val="10.0"/>
      <color rgb="FF0000FF"/>
      <name val="Calibri"/>
    </font>
    <font>
      <sz val="10.0"/>
      <color theme="1"/>
      <name val="Calibri"/>
    </font>
    <font>
      <b/>
      <sz val="10.0"/>
      <color rgb="FFFF0000"/>
      <name val="Calibri"/>
    </font>
    <font>
      <b/>
      <sz val="10.0"/>
      <color rgb="FF953734"/>
      <name val="Calibri"/>
    </font>
    <font>
      <b/>
      <sz val="10.0"/>
      <color rgb="FF0070C0"/>
      <name val="Calibri"/>
    </font>
    <font>
      <sz val="10.0"/>
      <color rgb="FF415588"/>
      <name val="Calibri"/>
    </font>
    <font>
      <sz val="10.0"/>
      <color rgb="FFFF0000"/>
      <name val="Calibri"/>
    </font>
    <font>
      <i/>
      <sz val="11.0"/>
      <color rgb="FF0070C0"/>
      <name val="Calibri"/>
    </font>
    <font>
      <u/>
      <sz val="10.0"/>
      <color rgb="FF0000FF"/>
      <name val="Calibri"/>
    </font>
    <font>
      <u/>
      <sz val="10.0"/>
      <color theme="10"/>
      <name val="Calibri"/>
    </font>
    <font>
      <u/>
      <sz val="10.0"/>
      <color rgb="FF0000FF"/>
      <name val="Calibri"/>
    </font>
    <font>
      <i/>
      <sz val="14.0"/>
      <color theme="1"/>
      <name val="Calibri"/>
    </font>
    <font>
      <b/>
      <i/>
      <sz val="14.0"/>
      <color rgb="FFFFFFFF"/>
      <name val="Calibri"/>
    </font>
    <font>
      <i/>
      <sz val="10.0"/>
      <color rgb="FFD60093"/>
      <name val="Calibri"/>
    </font>
    <font>
      <sz val="10.0"/>
      <color rgb="FF990099"/>
      <name val="Calibri"/>
    </font>
    <font>
      <b/>
      <sz val="10.0"/>
      <color rgb="FFF2F2F2"/>
      <name val="Calibri"/>
    </font>
    <font>
      <sz val="10.0"/>
      <color rgb="FFF2F2F2"/>
      <name val="Calibri"/>
    </font>
    <font>
      <b/>
      <sz val="10.0"/>
      <color rgb="FF7030A0"/>
      <name val="Calibri"/>
    </font>
    <font>
      <sz val="10.0"/>
      <color theme="1"/>
      <name val="Times New Roman"/>
    </font>
    <font>
      <strike/>
      <sz val="10.0"/>
      <color rgb="FF000000"/>
      <name val="Calibri"/>
    </font>
    <font>
      <b/>
      <i/>
      <sz val="14.0"/>
      <color rgb="FFFFFFFF"/>
      <name val="Arial Black"/>
    </font>
    <font>
      <b/>
      <sz val="10.0"/>
      <color rgb="FFD60093"/>
      <name val="Calibri"/>
    </font>
    <font>
      <sz val="11.0"/>
      <color rgb="FF000000"/>
      <name val="Calibri"/>
    </font>
    <font>
      <sz val="10.0"/>
      <color rgb="FFC00000"/>
      <name val="Calibri"/>
    </font>
    <font>
      <b/>
      <sz val="11.0"/>
      <color rgb="FFFF33CC"/>
      <name val="Calibri"/>
    </font>
    <font>
      <i/>
      <sz val="10.0"/>
      <color rgb="FF000000"/>
      <name val="Calibri"/>
    </font>
    <font>
      <i/>
      <sz val="10.0"/>
      <color rgb="FF632423"/>
      <name val="Calibri"/>
    </font>
  </fonts>
  <fills count="3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66FF99"/>
        <bgColor rgb="FF66FF99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FF66FF"/>
        <bgColor rgb="FFFF66FF"/>
      </patternFill>
    </fill>
    <fill>
      <patternFill patternType="solid">
        <fgColor rgb="FFFFFF99"/>
        <bgColor rgb="FFFFFF99"/>
      </patternFill>
    </fill>
    <fill>
      <patternFill patternType="solid">
        <fgColor rgb="FF99CC00"/>
        <bgColor rgb="FF99CC00"/>
      </patternFill>
    </fill>
    <fill>
      <patternFill patternType="solid">
        <fgColor rgb="FFFF0000"/>
        <bgColor rgb="FFFF0000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  <fill>
      <patternFill patternType="solid">
        <fgColor rgb="FFC4BD97"/>
        <bgColor rgb="FFC4BD97"/>
      </patternFill>
    </fill>
    <fill>
      <patternFill patternType="solid">
        <fgColor rgb="FFC6B4A0"/>
        <bgColor rgb="FFC6B4A0"/>
      </patternFill>
    </fill>
    <fill>
      <patternFill patternType="solid">
        <fgColor theme="1"/>
        <bgColor theme="1"/>
      </patternFill>
    </fill>
    <fill>
      <patternFill patternType="solid">
        <fgColor rgb="FFE36C09"/>
        <bgColor rgb="FFE36C09"/>
      </patternFill>
    </fill>
    <fill>
      <patternFill patternType="solid">
        <fgColor rgb="FF205867"/>
        <bgColor rgb="FF205867"/>
      </patternFill>
    </fill>
    <fill>
      <patternFill patternType="solid">
        <fgColor rgb="FFFABF8F"/>
        <bgColor rgb="FFFABF8F"/>
      </patternFill>
    </fill>
    <fill>
      <patternFill patternType="solid">
        <fgColor rgb="FFFF99FF"/>
        <bgColor rgb="FFFF99FF"/>
      </patternFill>
    </fill>
    <fill>
      <patternFill patternType="solid">
        <fgColor rgb="FFB6DDE8"/>
        <bgColor rgb="FFB6DDE8"/>
      </patternFill>
    </fill>
    <fill>
      <patternFill patternType="solid">
        <fgColor rgb="FFC2D69B"/>
        <bgColor rgb="FFC2D69B"/>
      </patternFill>
    </fill>
    <fill>
      <patternFill patternType="solid">
        <fgColor rgb="FF494429"/>
        <bgColor rgb="FF494429"/>
      </patternFill>
    </fill>
    <fill>
      <patternFill patternType="solid">
        <fgColor rgb="FF3F3F3F"/>
        <bgColor rgb="FF3F3F3F"/>
      </patternFill>
    </fill>
  </fills>
  <borders count="194">
    <border/>
    <border>
      <left style="thin">
        <color rgb="FF00B050"/>
      </left>
      <top style="thin">
        <color rgb="FF00B050"/>
      </top>
      <bottom style="thin">
        <color rgb="FF00B050"/>
      </bottom>
    </border>
    <border>
      <top style="thin">
        <color rgb="FF00B050"/>
      </top>
      <bottom style="thin">
        <color rgb="FF00B050"/>
      </bottom>
    </border>
    <border>
      <right style="thin">
        <color rgb="FF00B050"/>
      </right>
      <top style="thin">
        <color rgb="FF00B050"/>
      </top>
      <bottom style="thin">
        <color rgb="FF00B050"/>
      </bottom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</border>
    <border>
      <left/>
      <top/>
      <bottom/>
    </border>
    <border>
      <top/>
      <bottom/>
    </border>
    <border>
      <left/>
      <top/>
      <bottom style="thin">
        <color rgb="FF00B050"/>
      </bottom>
    </border>
    <border>
      <top/>
      <bottom style="thin">
        <color rgb="FF00B050"/>
      </bottom>
    </border>
    <border>
      <left style="thin">
        <color rgb="FF00B050"/>
      </left>
      <right style="thin">
        <color rgb="FF00B050"/>
      </right>
      <top style="thin">
        <color rgb="FF00B050"/>
      </top>
    </border>
    <border>
      <left style="thin">
        <color rgb="FF00B050"/>
      </left>
      <right style="thin">
        <color rgb="FF00B050"/>
      </right>
    </border>
    <border>
      <left style="thin">
        <color rgb="FF00B050"/>
      </left>
      <right style="thin">
        <color rgb="FF00B050"/>
      </right>
      <bottom style="thin">
        <color rgb="FF00B050"/>
      </bottom>
    </border>
    <border>
      <left style="thin">
        <color rgb="FF00B050"/>
      </left>
      <right style="thin">
        <color rgb="FF00B050"/>
      </right>
      <top style="thin">
        <color rgb="FF00B050"/>
      </top>
      <bottom/>
    </border>
    <border>
      <left style="thin">
        <color rgb="FF00B050"/>
      </left>
      <top style="thin">
        <color rgb="FF00B050"/>
      </top>
    </border>
    <border>
      <top style="thin">
        <color rgb="FF00B050"/>
      </top>
    </border>
    <border>
      <right style="thin">
        <color rgb="FF00B050"/>
      </right>
      <top style="thin">
        <color rgb="FF00B050"/>
      </top>
    </border>
    <border>
      <left/>
      <top style="thin">
        <color rgb="FF00B050"/>
      </top>
    </border>
    <border>
      <left style="thin">
        <color rgb="FF00B050"/>
      </left>
      <right style="thin">
        <color rgb="FF00B050"/>
      </right>
      <top/>
    </border>
    <border>
      <left style="thin">
        <color rgb="FF00B050"/>
      </left>
      <bottom style="thin">
        <color rgb="FF00B050"/>
      </bottom>
    </border>
    <border>
      <bottom style="thin">
        <color rgb="FF00B050"/>
      </bottom>
    </border>
    <border>
      <right style="thin">
        <color rgb="FF00B050"/>
      </right>
      <bottom style="thin">
        <color rgb="FF00B050"/>
      </bottom>
    </border>
    <border>
      <left/>
      <bottom style="thin">
        <color rgb="FF00B050"/>
      </bottom>
    </border>
    <border>
      <left/>
      <top style="thin">
        <color rgb="FF00B050"/>
      </top>
      <bottom style="thin">
        <color rgb="FF00B050"/>
      </bottom>
    </border>
    <border>
      <left style="thin">
        <color rgb="FF00B050"/>
      </left>
    </border>
    <border>
      <right style="thin">
        <color rgb="FF00B050"/>
      </right>
    </border>
    <border>
      <left/>
      <right/>
      <top/>
      <bottom/>
    </border>
    <border>
      <left/>
      <right style="thin">
        <color rgb="FF00B050"/>
      </right>
      <top/>
      <bottom/>
    </border>
    <border>
      <left style="thin">
        <color rgb="FF00B050"/>
      </left>
      <top style="thin">
        <color rgb="FF00B050"/>
      </top>
      <bottom/>
    </border>
    <border>
      <top style="thin">
        <color rgb="FF00B050"/>
      </top>
      <bottom/>
    </border>
    <border>
      <right style="thin">
        <color rgb="FF00B050"/>
      </right>
      <top style="thin">
        <color rgb="FF00B050"/>
      </top>
      <bottom/>
    </border>
    <border>
      <left style="thin">
        <color rgb="FF00B050"/>
      </left>
      <top/>
      <bottom/>
    </border>
    <border>
      <right style="thin">
        <color rgb="FF00B050"/>
      </right>
      <top/>
      <bottom/>
    </border>
    <border>
      <left style="thin">
        <color rgb="FF632423"/>
      </left>
      <right style="thin">
        <color rgb="FF632423"/>
      </right>
      <top style="thin">
        <color rgb="FF632423"/>
      </top>
    </border>
    <border>
      <left/>
      <top style="thin">
        <color rgb="FF953734"/>
      </top>
      <bottom style="thin">
        <color rgb="FF953734"/>
      </bottom>
    </border>
    <border>
      <top style="thin">
        <color rgb="FF953734"/>
      </top>
      <bottom style="thin">
        <color rgb="FF953734"/>
      </bottom>
    </border>
    <border>
      <right style="thin">
        <color rgb="FF953734"/>
      </right>
      <top style="thin">
        <color rgb="FF953734"/>
      </top>
      <bottom style="thin">
        <color rgb="FF953734"/>
      </bottom>
    </border>
    <border>
      <left style="thin">
        <color rgb="FF632423"/>
      </left>
      <right style="thin">
        <color rgb="FF632423"/>
      </right>
    </border>
    <border>
      <left style="thin">
        <color rgb="FF632423"/>
      </left>
      <right style="thin">
        <color rgb="FF632423"/>
      </right>
      <bottom style="thin">
        <color rgb="FF632423"/>
      </bottom>
    </border>
    <border>
      <left/>
      <right style="thin">
        <color rgb="FF953734"/>
      </right>
      <top style="thin">
        <color rgb="FF953734"/>
      </top>
      <bottom style="thin">
        <color rgb="FF953734"/>
      </bottom>
    </border>
    <border>
      <left style="thin">
        <color rgb="FF953734"/>
      </left>
      <right style="thin">
        <color rgb="FF953734"/>
      </right>
      <top style="thin">
        <color rgb="FF953734"/>
      </top>
      <bottom style="thin">
        <color rgb="FF953734"/>
      </bottom>
    </border>
    <border>
      <left style="thin">
        <color rgb="FF632423"/>
      </left>
      <top style="thin">
        <color rgb="FF632423"/>
      </top>
    </border>
    <border>
      <right style="thin">
        <color rgb="FF632423"/>
      </right>
      <top style="thin">
        <color rgb="FF632423"/>
      </top>
    </border>
    <border>
      <left/>
      <top style="thin">
        <color rgb="FF953734"/>
      </top>
    </border>
    <border>
      <right style="thin">
        <color rgb="FF953734"/>
      </right>
      <top style="thin">
        <color rgb="FF953734"/>
      </top>
    </border>
    <border>
      <left style="thin">
        <color rgb="FF953734"/>
      </left>
      <top style="thin">
        <color rgb="FF953734"/>
      </top>
      <bottom/>
    </border>
    <border>
      <right style="thin">
        <color rgb="FF953734"/>
      </right>
      <top style="thin">
        <color rgb="FF953734"/>
      </top>
      <bottom/>
    </border>
    <border>
      <left style="thin">
        <color rgb="FF953734"/>
      </left>
      <right style="thin">
        <color rgb="FF953734"/>
      </right>
      <top style="thin">
        <color rgb="FF953734"/>
      </top>
    </border>
    <border>
      <left style="thin">
        <color rgb="FF632423"/>
      </left>
    </border>
    <border>
      <right style="thin">
        <color rgb="FF632423"/>
      </right>
      <bottom style="thin">
        <color rgb="FF632423"/>
      </bottom>
    </border>
    <border>
      <left/>
      <bottom style="thin">
        <color rgb="FF953734"/>
      </bottom>
    </border>
    <border>
      <right style="thin">
        <color rgb="FF953734"/>
      </right>
      <bottom style="thin">
        <color rgb="FF953734"/>
      </bottom>
    </border>
    <border>
      <left style="thin">
        <color rgb="FF953734"/>
      </left>
      <top/>
      <bottom style="thin">
        <color rgb="FF953734"/>
      </bottom>
    </border>
    <border>
      <right style="thin">
        <color rgb="FF953734"/>
      </right>
      <top/>
      <bottom style="thin">
        <color rgb="FF953734"/>
      </bottom>
    </border>
    <border>
      <left style="thin">
        <color rgb="FF953734"/>
      </left>
      <right style="thin">
        <color rgb="FF953734"/>
      </right>
      <bottom style="thin">
        <color rgb="FF953734"/>
      </bottom>
    </border>
    <border>
      <left style="thin">
        <color rgb="FF974806"/>
      </left>
      <top style="thin">
        <color rgb="FF974806"/>
      </top>
      <bottom style="thin">
        <color rgb="FF974806"/>
      </bottom>
    </border>
    <border>
      <left style="thin">
        <color rgb="FF974806"/>
      </left>
      <right style="thin">
        <color rgb="FF974806"/>
      </right>
      <top style="thin">
        <color rgb="FF974806"/>
      </top>
      <bottom style="thin">
        <color rgb="FF974806"/>
      </bottom>
    </border>
    <border>
      <left style="thin">
        <color rgb="FF963634"/>
      </left>
      <right style="thin">
        <color rgb="FF963634"/>
      </right>
      <top style="thin">
        <color rgb="FF963634"/>
      </top>
      <bottom style="thin">
        <color rgb="FF963634"/>
      </bottom>
    </border>
    <border>
      <right style="thin">
        <color rgb="FF963634"/>
      </right>
      <top style="thin">
        <color rgb="FF963634"/>
      </top>
      <bottom style="thin">
        <color rgb="FF963634"/>
      </bottom>
    </border>
    <border>
      <left style="thin">
        <color rgb="FF953734"/>
      </left>
      <bottom style="thin">
        <color rgb="FF953734"/>
      </bottom>
    </border>
    <border>
      <right style="thin">
        <color rgb="FF963634"/>
      </right>
      <bottom style="thin">
        <color rgb="FF963634"/>
      </bottom>
    </border>
    <border>
      <left style="thin">
        <color rgb="FF953734"/>
      </left>
      <right style="thin">
        <color rgb="FF953734"/>
      </right>
    </border>
    <border>
      <left style="thin">
        <color rgb="FF963634"/>
      </left>
      <right style="thin">
        <color rgb="FF963634"/>
      </right>
      <bottom style="thin">
        <color rgb="FF963634"/>
      </bottom>
    </border>
    <border>
      <left style="thin">
        <color rgb="FF632423"/>
      </left>
      <top style="thin">
        <color rgb="FF632423"/>
      </top>
      <bottom style="thin">
        <color rgb="FF632423"/>
      </bottom>
    </border>
    <border>
      <top style="thin">
        <color rgb="FF632423"/>
      </top>
      <bottom style="thin">
        <color rgb="FF632423"/>
      </bottom>
    </border>
    <border>
      <right style="thin">
        <color rgb="FF632423"/>
      </right>
      <top style="thin">
        <color rgb="FF632423"/>
      </top>
      <bottom style="thin">
        <color rgb="FF632423"/>
      </bottom>
    </border>
    <border>
      <left/>
      <top style="thin">
        <color rgb="FF953734"/>
      </top>
      <bottom/>
    </border>
    <border>
      <top style="thin">
        <color rgb="FF953734"/>
      </top>
      <bottom/>
    </border>
    <border>
      <left style="thin">
        <color rgb="FF953734"/>
      </left>
    </border>
    <border>
      <top style="thin">
        <color rgb="FF632423"/>
      </top>
    </border>
    <border>
      <right style="thin">
        <color rgb="FF632423"/>
      </right>
    </border>
    <border>
      <left style="thin">
        <color rgb="FF632423"/>
      </left>
      <right/>
      <top/>
      <bottom/>
    </border>
    <border>
      <left/>
      <right style="thin">
        <color rgb="FF632423"/>
      </right>
      <top/>
      <bottom/>
    </border>
    <border>
      <left style="thin">
        <color rgb="FF632423"/>
      </left>
      <bottom style="thin">
        <color rgb="FF632423"/>
      </bottom>
    </border>
    <border>
      <bottom style="thin">
        <color rgb="FF632423"/>
      </bottom>
    </border>
    <border>
      <left style="thin">
        <color rgb="FF953734"/>
      </left>
      <top style="thin">
        <color rgb="FF953734"/>
      </top>
      <bottom style="thin">
        <color rgb="FF632423"/>
      </bottom>
    </border>
    <border>
      <top style="thin">
        <color rgb="FF953734"/>
      </top>
      <bottom style="thin">
        <color rgb="FF632423"/>
      </bottom>
    </border>
    <border>
      <left/>
      <top/>
      <bottom style="thin">
        <color rgb="FF632423"/>
      </bottom>
    </border>
    <border>
      <top/>
      <bottom style="thin">
        <color rgb="FF632423"/>
      </bottom>
    </border>
    <border>
      <right style="thin">
        <color rgb="FF953734"/>
      </right>
      <top/>
      <bottom style="thin">
        <color rgb="FF632423"/>
      </bottom>
    </border>
    <border>
      <left style="thin">
        <color rgb="FFC00000"/>
      </left>
      <top style="thin">
        <color rgb="FFC00000"/>
      </top>
      <bottom style="thin">
        <color rgb="FF632423"/>
      </bottom>
    </border>
    <border>
      <top style="thin">
        <color rgb="FFC00000"/>
      </top>
      <bottom style="thin">
        <color rgb="FF632423"/>
      </bottom>
    </border>
    <border>
      <right style="thin">
        <color rgb="FFC00000"/>
      </right>
      <top style="thin">
        <color rgb="FFC00000"/>
      </top>
      <bottom style="thin">
        <color rgb="FF632423"/>
      </bottom>
    </border>
    <border>
      <left style="thin">
        <color rgb="FFC00000"/>
      </left>
      <top style="thin">
        <color rgb="FF632423"/>
      </top>
    </border>
    <border>
      <left style="thin">
        <color rgb="FF974806"/>
      </left>
      <right style="thin">
        <color rgb="FF974806"/>
      </right>
      <top style="thin">
        <color rgb="FF974806"/>
      </top>
    </border>
    <border>
      <right style="thin">
        <color rgb="FFC00000"/>
      </right>
      <top style="thin">
        <color rgb="FF632423"/>
      </top>
    </border>
    <border>
      <right style="thin">
        <color rgb="FFC00000"/>
      </right>
      <top style="thin">
        <color rgb="FF632423"/>
      </top>
      <bottom style="thin">
        <color rgb="FF632423"/>
      </bottom>
    </border>
    <border>
      <top style="thin">
        <color rgb="FF974806"/>
      </top>
      <bottom style="thin">
        <color rgb="FF974806"/>
      </bottom>
    </border>
    <border>
      <right style="thin">
        <color rgb="FF974806"/>
      </right>
      <top style="thin">
        <color rgb="FF974806"/>
      </top>
      <bottom style="thin">
        <color rgb="FF974806"/>
      </bottom>
    </border>
    <border>
      <left style="thin">
        <color rgb="FF00B050"/>
      </left>
      <top style="thin">
        <color rgb="FF974806"/>
      </top>
      <bottom style="thin">
        <color rgb="FF632423"/>
      </bottom>
    </border>
    <border>
      <left style="thin">
        <color rgb="FF974806"/>
      </left>
      <right style="thin">
        <color rgb="FF974806"/>
      </right>
      <top style="thin">
        <color rgb="FF974806"/>
      </top>
      <bottom style="thin">
        <color rgb="FF632423"/>
      </bottom>
    </border>
    <border>
      <top style="thin">
        <color rgb="FF974806"/>
      </top>
      <bottom style="thin">
        <color rgb="FF632423"/>
      </bottom>
    </border>
    <border>
      <right style="thin">
        <color rgb="FF974806"/>
      </right>
      <top style="thin">
        <color rgb="FF974806"/>
      </top>
      <bottom style="thin">
        <color rgb="FF632423"/>
      </bottom>
    </border>
    <border>
      <right style="thin">
        <color rgb="FFC00000"/>
      </right>
    </border>
    <border>
      <left style="thin">
        <color rgb="FFC00000"/>
      </left>
      <bottom style="thin">
        <color rgb="FFC00000"/>
      </bottom>
    </border>
    <border>
      <bottom style="thin">
        <color rgb="FFC00000"/>
      </bottom>
    </border>
    <border>
      <right style="thin">
        <color rgb="FFC00000"/>
      </right>
      <bottom style="thin">
        <color rgb="FFC00000"/>
      </bottom>
    </border>
    <border>
      <left style="thin">
        <color rgb="FF632423"/>
      </left>
      <top/>
      <bottom style="thin">
        <color rgb="FF632423"/>
      </bottom>
    </border>
    <border>
      <left style="thin">
        <color rgb="FF974806"/>
      </left>
      <top style="thin">
        <color rgb="FF974806"/>
      </top>
      <bottom/>
    </border>
    <border>
      <top style="thin">
        <color rgb="FF974806"/>
      </top>
      <bottom/>
    </border>
    <border>
      <right style="thin">
        <color rgb="FF974806"/>
      </right>
      <top style="thin">
        <color rgb="FF974806"/>
      </top>
      <bottom/>
    </border>
    <border>
      <left style="thin">
        <color rgb="FF974806"/>
      </left>
      <right style="thin">
        <color rgb="FFC00000"/>
      </right>
      <top style="thin">
        <color rgb="FFC00000"/>
      </top>
    </border>
    <border>
      <top style="thin">
        <color rgb="FFC00000"/>
      </top>
    </border>
    <border>
      <right style="thin">
        <color rgb="FF974806"/>
      </right>
      <top style="thin">
        <color rgb="FFC00000"/>
      </top>
    </border>
    <border>
      <left style="thin">
        <color rgb="FF974806"/>
      </left>
      <right style="thin">
        <color rgb="FFC00000"/>
      </right>
      <top style="thin">
        <color rgb="FFC00000"/>
      </top>
      <bottom style="thin">
        <color rgb="FFC00000"/>
      </bottom>
    </border>
    <border>
      <top style="thin">
        <color rgb="FFC00000"/>
      </top>
      <bottom style="thin">
        <color rgb="FFC00000"/>
      </bottom>
    </border>
    <border>
      <right style="thin">
        <color rgb="FF974806"/>
      </right>
      <top style="thin">
        <color rgb="FFC00000"/>
      </top>
      <bottom style="thin">
        <color rgb="FFC00000"/>
      </bottom>
    </border>
    <border>
      <left style="thin">
        <color rgb="FF974806"/>
      </left>
      <right style="thin">
        <color rgb="FFC00000"/>
      </right>
      <bottom style="thin">
        <color rgb="FFC00000"/>
      </bottom>
    </border>
    <border>
      <right style="thin">
        <color rgb="FF974806"/>
      </right>
      <bottom style="thin">
        <color rgb="FFC00000"/>
      </bottom>
    </border>
    <border>
      <left style="thin">
        <color rgb="FF974806"/>
      </left>
    </border>
    <border>
      <right style="thin">
        <color rgb="FF974806"/>
      </right>
    </border>
    <border>
      <left style="thin">
        <color rgb="FF974806"/>
      </left>
      <top style="thin">
        <color rgb="FF974806"/>
      </top>
      <bottom style="thin">
        <color rgb="FF632423"/>
      </bottom>
    </border>
    <border>
      <right style="thin">
        <color rgb="FF974806"/>
      </right>
      <top style="thin">
        <color rgb="FF632423"/>
      </top>
    </border>
    <border>
      <left style="thin">
        <color rgb="FF974806"/>
      </left>
      <bottom style="thin">
        <color rgb="FF974806"/>
      </bottom>
    </border>
    <border>
      <bottom style="thin">
        <color rgb="FF974806"/>
      </bottom>
    </border>
    <border>
      <right style="thin">
        <color rgb="FF974806"/>
      </right>
      <bottom style="thin">
        <color rgb="FF974806"/>
      </bottom>
    </border>
    <border>
      <left/>
      <top/>
      <bottom style="thin">
        <color rgb="FF0F243E"/>
      </bottom>
    </border>
    <border>
      <top/>
      <bottom style="thin">
        <color rgb="FF0F243E"/>
      </bottom>
    </border>
    <border>
      <left style="thin">
        <color rgb="FF0F243E"/>
      </left>
      <right style="thin">
        <color rgb="FF0F243E"/>
      </right>
      <top style="thin">
        <color rgb="FF0F243E"/>
      </top>
    </border>
    <border>
      <left style="thin">
        <color rgb="FF0F243E"/>
      </left>
      <top style="thin">
        <color rgb="FF0F243E"/>
      </top>
      <bottom style="thin">
        <color rgb="FF0F243E"/>
      </bottom>
    </border>
    <border>
      <top style="thin">
        <color rgb="FF0F243E"/>
      </top>
      <bottom style="thin">
        <color rgb="FF0F243E"/>
      </bottom>
    </border>
    <border>
      <right style="thin">
        <color rgb="FF0F243E"/>
      </right>
      <top style="thin">
        <color rgb="FF0F243E"/>
      </top>
      <bottom style="thin">
        <color rgb="FF0F243E"/>
      </bottom>
    </border>
    <border>
      <left style="thin">
        <color rgb="FF0F243E"/>
      </left>
      <right style="thin">
        <color rgb="FF0F243E"/>
      </right>
      <bottom style="thin">
        <color rgb="FF0F243E"/>
      </bottom>
    </border>
    <border>
      <left style="thin">
        <color rgb="FF0F243E"/>
      </left>
      <right style="thin">
        <color rgb="FF0F243E"/>
      </right>
      <top style="thin">
        <color rgb="FF0F243E"/>
      </top>
      <bottom style="thin">
        <color rgb="FF0F243E"/>
      </bottom>
    </border>
    <border>
      <left style="thin">
        <color rgb="FF0F243E"/>
      </left>
      <right style="thin">
        <color rgb="FF0F243E"/>
      </right>
      <top style="thin">
        <color rgb="FF0F243E"/>
      </top>
      <bottom/>
    </border>
    <border>
      <left style="thin">
        <color rgb="FF0F243E"/>
      </left>
      <top style="thin">
        <color rgb="FF0F243E"/>
      </top>
    </border>
    <border>
      <right style="thin">
        <color rgb="FF0F243E"/>
      </right>
      <top style="thin">
        <color rgb="FF0F243E"/>
      </top>
    </border>
    <border>
      <top style="thin">
        <color rgb="FF0F243E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F243E"/>
      </right>
      <top style="thin">
        <color rgb="FF0F243E"/>
      </top>
    </border>
    <border>
      <left style="thin">
        <color rgb="FF0F243E"/>
      </left>
      <bottom style="thin">
        <color rgb="FF0F243E"/>
      </bottom>
    </border>
    <border>
      <right style="thin">
        <color rgb="FF0F243E"/>
      </right>
      <bottom style="thin">
        <color rgb="FF0F243E"/>
      </bottom>
    </border>
    <border>
      <bottom style="thin">
        <color rgb="FF0F243E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F243E"/>
      </right>
      <bottom style="thin">
        <color rgb="FF0F243E"/>
      </bottom>
    </border>
    <border>
      <left style="thin">
        <color rgb="FF0F243E"/>
      </left>
      <right style="thin">
        <color rgb="FF0F243E"/>
      </right>
    </border>
    <border>
      <left style="thin">
        <color rgb="FF974806"/>
      </left>
      <top style="thin">
        <color rgb="FF974806"/>
      </top>
      <bottom style="thin">
        <color rgb="FF0F243E"/>
      </bottom>
    </border>
    <border>
      <right style="thin">
        <color rgb="FF974806"/>
      </right>
      <top style="thin">
        <color rgb="FF974806"/>
      </top>
      <bottom style="thin">
        <color rgb="FF0F243E"/>
      </bottom>
    </border>
    <border>
      <right style="thin">
        <color rgb="FF0F243E"/>
      </right>
      <top/>
      <bottom/>
    </border>
    <border>
      <left style="thin">
        <color rgb="FF974806"/>
      </left>
      <top style="thin">
        <color rgb="FF0F243E"/>
      </top>
    </border>
    <border>
      <left style="thin">
        <color rgb="FF0F243E"/>
      </left>
      <top/>
      <bottom style="thin">
        <color rgb="FF0F243E"/>
      </bottom>
    </border>
    <border>
      <right style="thin">
        <color rgb="FF0F243E"/>
      </right>
      <top/>
      <bottom style="thin">
        <color rgb="FF0F243E"/>
      </bottom>
    </border>
    <border>
      <left style="thin">
        <color rgb="FF0F243E"/>
      </left>
    </border>
    <border>
      <right style="thin">
        <color rgb="FF0F243E"/>
      </right>
    </border>
    <border>
      <right style="thin">
        <color rgb="FF0F243E"/>
      </right>
      <bottom style="thin">
        <color rgb="FF00B050"/>
      </bottom>
    </border>
    <border>
      <left style="thin">
        <color rgb="FF0F243E"/>
      </left>
      <top style="thin">
        <color rgb="FF0F243E"/>
      </top>
      <bottom/>
    </border>
    <border>
      <top style="thin">
        <color rgb="FF0F243E"/>
      </top>
      <bottom/>
    </border>
    <border>
      <left/>
      <top style="thin">
        <color rgb="FF00B050"/>
      </top>
      <bottom/>
    </border>
    <border>
      <right style="thin">
        <color rgb="FF0F243E"/>
      </right>
      <top style="thin">
        <color rgb="FF00B050"/>
      </top>
      <bottom/>
    </border>
    <border>
      <right style="thin">
        <color rgb="FF0F243E"/>
      </right>
      <top style="thin">
        <color rgb="FF0F243E"/>
      </top>
      <bottom/>
    </border>
    <border>
      <top style="thin">
        <color rgb="FF783F04"/>
      </top>
    </border>
    <border>
      <right style="thin">
        <color rgb="FF783F04"/>
      </right>
      <top style="thin">
        <color rgb="FF783F04"/>
      </top>
    </border>
    <border>
      <left style="thin">
        <color rgb="FF783F04"/>
      </left>
    </border>
    <border>
      <right style="thin">
        <color rgb="FF783F04"/>
      </right>
    </border>
    <border>
      <left style="thin">
        <color rgb="FF783F04"/>
      </left>
      <bottom style="thin">
        <color rgb="FF783F04"/>
      </bottom>
    </border>
    <border>
      <bottom style="thin">
        <color rgb="FF783F04"/>
      </bottom>
    </border>
    <border>
      <right style="thin">
        <color rgb="FF783F04"/>
      </right>
      <bottom style="thin">
        <color rgb="FF783F04"/>
      </bottom>
    </border>
    <border>
      <left style="thin">
        <color rgb="FF00B050"/>
      </left>
      <right/>
      <top/>
      <bottom style="double">
        <color rgb="FF00B050"/>
      </bottom>
    </border>
    <border>
      <left style="thin">
        <color rgb="FF00B050"/>
      </left>
      <right/>
      <top style="double">
        <color rgb="FF00B050"/>
      </top>
    </border>
    <border>
      <left style="thin">
        <color rgb="FF00B050"/>
      </left>
      <right/>
    </border>
    <border>
      <left style="thin">
        <color rgb="FF00B050"/>
      </left>
      <right/>
      <top/>
      <bottom style="thin">
        <color rgb="FF00B050"/>
      </bottom>
    </border>
    <border>
      <left/>
      <right/>
      <top/>
      <bottom style="thin">
        <color rgb="FF00B050"/>
      </bottom>
    </border>
    <border>
      <left/>
      <right style="thin">
        <color rgb="FF00B050"/>
      </right>
      <top/>
      <bottom style="thin">
        <color rgb="FF00B050"/>
      </bottom>
    </border>
    <border>
      <left style="thin">
        <color rgb="FF00B050"/>
      </left>
      <right/>
      <top/>
      <bottom/>
    </border>
    <border>
      <left style="thin">
        <color rgb="FF00B050"/>
      </left>
      <right/>
      <top style="thin">
        <color rgb="FF00B050"/>
      </top>
      <bottom style="thin">
        <color rgb="FF00B050"/>
      </bottom>
    </border>
    <border>
      <left/>
      <right/>
      <top style="thin">
        <color rgb="FF00B050"/>
      </top>
      <bottom style="thin">
        <color rgb="FF00B050"/>
      </bottom>
    </border>
    <border>
      <left/>
      <right style="thin">
        <color rgb="FF00B050"/>
      </right>
      <top style="thin">
        <color rgb="FF00B050"/>
      </top>
      <bottom style="thin">
        <color rgb="FF00B050"/>
      </bottom>
    </border>
    <border>
      <left style="thin">
        <color rgb="FF00B050"/>
      </left>
      <right/>
      <top style="double">
        <color rgb="FF00B050"/>
      </top>
      <bottom/>
    </border>
    <border>
      <left style="thin">
        <color rgb="FF00B050"/>
      </left>
      <bottom style="thin">
        <color rgb="FF000000"/>
      </bottom>
    </border>
    <border>
      <bottom style="thin">
        <color rgb="FF000000"/>
      </bottom>
    </border>
    <border>
      <right style="thin">
        <color rgb="FF00B050"/>
      </right>
      <bottom style="thin">
        <color rgb="FF000000"/>
      </bottom>
    </border>
    <border>
      <top style="thin">
        <color rgb="FF000000"/>
      </top>
      <bottom/>
    </border>
    <border>
      <left style="thin">
        <color rgb="FF00B050"/>
      </left>
      <top/>
      <bottom style="thin">
        <color rgb="FF00B050"/>
      </bottom>
    </border>
    <border>
      <right style="thin">
        <color rgb="FF00B050"/>
      </right>
      <top/>
      <bottom style="thin">
        <color rgb="FF00B050"/>
      </bottom>
    </border>
    <border>
      <left/>
    </border>
    <border>
      <left/>
      <right/>
      <top style="thin">
        <color rgb="FF00B050"/>
      </top>
      <bottom/>
    </border>
    <border>
      <left/>
      <right style="thin">
        <color rgb="FF00B050"/>
      </right>
      <top style="thin">
        <color rgb="FF00B050"/>
      </top>
      <bottom/>
    </border>
    <border>
      <left style="thin">
        <color rgb="FF00B050"/>
      </left>
      <right/>
      <top style="thin">
        <color rgb="FF00B05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B050"/>
      </left>
      <right/>
      <bottom style="thin">
        <color rgb="FF00B050"/>
      </bottom>
    </border>
    <border>
      <left/>
      <right/>
      <top style="double">
        <color rgb="FF00B050"/>
      </top>
    </border>
    <border>
      <left/>
      <right/>
    </border>
    <border>
      <left/>
      <right/>
      <bottom style="thin">
        <color rgb="FF000000"/>
      </bottom>
    </border>
    <border>
      <left style="thin">
        <color rgb="FF00B050"/>
      </left>
      <right/>
      <bottom style="thin">
        <color rgb="FF000000"/>
      </bottom>
    </border>
    <border>
      <left style="thin">
        <color rgb="FF00B050"/>
      </left>
      <top style="thin">
        <color rgb="FF000000"/>
      </top>
      <bottom style="thin">
        <color rgb="FF000000"/>
      </bottom>
    </border>
    <border>
      <right style="thin">
        <color rgb="FF00B050"/>
      </right>
      <top style="thin">
        <color rgb="FF000000"/>
      </top>
      <bottom style="thin">
        <color rgb="FF000000"/>
      </bottom>
    </border>
    <border>
      <left style="thin">
        <color rgb="FF00B050"/>
      </left>
      <top style="thin">
        <color rgb="FF000000"/>
      </top>
      <bottom style="thin">
        <color rgb="FF00B050"/>
      </bottom>
    </border>
    <border>
      <top style="thin">
        <color rgb="FF000000"/>
      </top>
      <bottom style="thin">
        <color rgb="FF00B050"/>
      </bottom>
    </border>
    <border>
      <right style="thin">
        <color rgb="FF00B050"/>
      </right>
      <top style="thin">
        <color rgb="FF000000"/>
      </top>
      <bottom style="thin">
        <color rgb="FF00B050"/>
      </bottom>
    </border>
    <border>
      <left style="thin">
        <color rgb="FF00B050"/>
      </left>
      <top style="thin">
        <color rgb="FF000000"/>
      </top>
      <bottom/>
    </border>
    <border>
      <right style="thin">
        <color rgb="FF00B05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29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left" vertical="top"/>
    </xf>
    <xf borderId="3" fillId="0" fontId="4" numFmtId="0" xfId="0" applyAlignment="1" applyBorder="1" applyFont="1">
      <alignment horizontal="left" vertical="top"/>
    </xf>
    <xf borderId="4" fillId="2" fontId="5" numFmtId="0" xfId="0" applyAlignment="1" applyBorder="1" applyFont="1">
      <alignment horizontal="center" vertical="center"/>
    </xf>
    <xf quotePrefix="1"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4" fillId="5" fontId="1" numFmtId="0" xfId="0" applyAlignment="1" applyBorder="1" applyFill="1" applyFont="1">
      <alignment horizontal="center" vertical="center"/>
    </xf>
    <xf borderId="4" fillId="6" fontId="1" numFmtId="0" xfId="0" applyAlignment="1" applyBorder="1" applyFill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7" fontId="6" numFmtId="0" xfId="0" applyAlignment="1" applyBorder="1" applyFill="1" applyFont="1">
      <alignment horizontal="center" vertical="center"/>
    </xf>
    <xf borderId="4" fillId="4" fontId="1" numFmtId="164" xfId="0" applyAlignment="1" applyBorder="1" applyFont="1" applyNumberFormat="1">
      <alignment horizontal="center" vertical="center"/>
    </xf>
    <xf borderId="4" fillId="8" fontId="6" numFmtId="0" xfId="0" applyAlignment="1" applyBorder="1" applyFill="1" applyFont="1">
      <alignment horizontal="center" vertical="center"/>
    </xf>
    <xf borderId="4" fillId="9" fontId="1" numFmtId="0" xfId="0" applyAlignment="1" applyBorder="1" applyFill="1" applyFont="1">
      <alignment horizontal="center" vertical="center"/>
    </xf>
    <xf borderId="4" fillId="10" fontId="1" numFmtId="0" xfId="0" applyAlignment="1" applyBorder="1" applyFill="1" applyFont="1">
      <alignment horizontal="center" vertical="center"/>
    </xf>
    <xf borderId="4" fillId="6" fontId="6" numFmtId="0" xfId="0" applyAlignment="1" applyBorder="1" applyFont="1">
      <alignment horizontal="center" vertical="center"/>
    </xf>
    <xf borderId="4" fillId="11" fontId="7" numFmtId="0" xfId="0" applyAlignment="1" applyBorder="1" applyFill="1" applyFont="1">
      <alignment horizontal="center" vertical="center"/>
    </xf>
    <xf borderId="4" fillId="12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center" shrinkToFit="0" vertical="center" wrapText="1"/>
    </xf>
    <xf borderId="5" fillId="4" fontId="9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top"/>
    </xf>
    <xf borderId="7" fillId="13" fontId="10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left" vertical="top"/>
    </xf>
    <xf borderId="0" fillId="0" fontId="11" numFmtId="0" xfId="0" applyAlignment="1" applyFont="1">
      <alignment horizontal="left" vertical="center"/>
    </xf>
    <xf borderId="9" fillId="14" fontId="12" numFmtId="0" xfId="0" applyAlignment="1" applyBorder="1" applyFill="1" applyFont="1">
      <alignment horizontal="center" shrinkToFit="0" vertical="center" wrapText="1"/>
    </xf>
    <xf borderId="1" fillId="14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left" vertical="top"/>
    </xf>
    <xf borderId="11" fillId="0" fontId="4" numFmtId="0" xfId="0" applyAlignment="1" applyBorder="1" applyFont="1">
      <alignment horizontal="left" vertical="top"/>
    </xf>
    <xf borderId="4" fillId="14" fontId="12" numFmtId="0" xfId="0" applyAlignment="1" applyBorder="1" applyFont="1">
      <alignment horizontal="center" shrinkToFit="0" vertical="center" wrapText="1"/>
    </xf>
    <xf borderId="4" fillId="14" fontId="13" numFmtId="0" xfId="0" applyAlignment="1" applyBorder="1" applyFont="1">
      <alignment horizontal="center" shrinkToFit="0" vertical="center" wrapText="1"/>
    </xf>
    <xf borderId="12" fillId="14" fontId="13" numFmtId="0" xfId="0" applyAlignment="1" applyBorder="1" applyFont="1">
      <alignment horizontal="center" shrinkToFit="0" vertical="center" wrapText="1"/>
    </xf>
    <xf borderId="13" fillId="0" fontId="1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left" vertical="top"/>
    </xf>
    <xf borderId="15" fillId="0" fontId="4" numFmtId="0" xfId="0" applyAlignment="1" applyBorder="1" applyFont="1">
      <alignment horizontal="left" vertical="top"/>
    </xf>
    <xf borderId="16" fillId="15" fontId="15" numFmtId="1" xfId="0" applyAlignment="1" applyBorder="1" applyFill="1" applyFont="1" applyNumberFormat="1">
      <alignment horizontal="left" shrinkToFit="0" vertical="center" wrapText="1"/>
    </xf>
    <xf borderId="5" fillId="15" fontId="15" numFmtId="1" xfId="0" applyAlignment="1" applyBorder="1" applyFont="1" applyNumberFormat="1">
      <alignment horizontal="left" shrinkToFit="1" vertical="center" wrapText="0"/>
    </xf>
    <xf borderId="17" fillId="15" fontId="15" numFmtId="1" xfId="0" applyAlignment="1" applyBorder="1" applyFont="1" applyNumberFormat="1">
      <alignment horizontal="left" shrinkToFit="0" vertical="center" wrapText="1"/>
    </xf>
    <xf borderId="17" fillId="15" fontId="15" numFmtId="1" xfId="0" applyAlignment="1" applyBorder="1" applyFont="1" applyNumberFormat="1">
      <alignment horizontal="center" shrinkToFit="1" vertical="center" wrapText="0"/>
    </xf>
    <xf borderId="18" fillId="0" fontId="4" numFmtId="0" xfId="0" applyAlignment="1" applyBorder="1" applyFont="1">
      <alignment horizontal="left" vertical="top"/>
    </xf>
    <xf borderId="19" fillId="0" fontId="4" numFmtId="0" xfId="0" applyAlignment="1" applyBorder="1" applyFont="1">
      <alignment horizontal="left" vertical="top"/>
    </xf>
    <xf borderId="20" fillId="0" fontId="4" numFmtId="0" xfId="0" applyAlignment="1" applyBorder="1" applyFont="1">
      <alignment horizontal="left" vertical="top"/>
    </xf>
    <xf borderId="21" fillId="0" fontId="4" numFmtId="0" xfId="0" applyAlignment="1" applyBorder="1" applyFont="1">
      <alignment horizontal="left" vertical="top"/>
    </xf>
    <xf borderId="5" fillId="15" fontId="15" numFmtId="1" xfId="0" applyAlignment="1" applyBorder="1" applyFont="1" applyNumberFormat="1">
      <alignment horizontal="left" shrinkToFit="1" vertical="top" wrapText="0"/>
    </xf>
    <xf borderId="11" fillId="0" fontId="16" numFmtId="0" xfId="0" applyAlignment="1" applyBorder="1" applyFont="1">
      <alignment horizontal="center" shrinkToFit="0" vertical="center" wrapText="1"/>
    </xf>
    <xf borderId="20" fillId="0" fontId="16" numFmtId="0" xfId="0" applyAlignment="1" applyBorder="1" applyFont="1">
      <alignment horizontal="center" shrinkToFit="0" vertical="center" wrapText="1"/>
    </xf>
    <xf borderId="20" fillId="0" fontId="16" numFmtId="0" xfId="0" applyAlignment="1" applyBorder="1" applyFont="1">
      <alignment horizontal="left" shrinkToFit="0" vertical="center" wrapText="1"/>
    </xf>
    <xf borderId="4" fillId="0" fontId="17" numFmtId="1" xfId="0" applyAlignment="1" applyBorder="1" applyFont="1" applyNumberFormat="1">
      <alignment horizontal="center" shrinkToFit="1" vertical="center" wrapText="0"/>
    </xf>
    <xf borderId="4" fillId="0" fontId="8" numFmtId="1" xfId="0" applyAlignment="1" applyBorder="1" applyFont="1" applyNumberFormat="1">
      <alignment horizontal="center" shrinkToFit="1" vertical="center" wrapText="0"/>
    </xf>
    <xf borderId="11" fillId="0" fontId="8" numFmtId="1" xfId="0" applyAlignment="1" applyBorder="1" applyFont="1" applyNumberFormat="1">
      <alignment horizontal="center" shrinkToFit="1" vertical="center" wrapText="0"/>
    </xf>
    <xf borderId="0" fillId="0" fontId="13" numFmtId="0" xfId="0" applyAlignment="1" applyFont="1">
      <alignment horizontal="center" shrinkToFit="0" vertical="center" wrapText="1"/>
    </xf>
    <xf borderId="10" fillId="0" fontId="16" numFmtId="0" xfId="0" applyAlignment="1" applyBorder="1" applyFont="1">
      <alignment horizontal="center" shrinkToFit="0" vertical="center" wrapText="1"/>
    </xf>
    <xf borderId="15" fillId="0" fontId="16" numFmtId="0" xfId="0" applyAlignment="1" applyBorder="1" applyFont="1">
      <alignment horizontal="left" shrinkToFit="0" vertical="center" wrapText="1"/>
    </xf>
    <xf borderId="3" fillId="0" fontId="17" numFmtId="1" xfId="0" applyAlignment="1" applyBorder="1" applyFont="1" applyNumberFormat="1">
      <alignment horizontal="center" shrinkToFit="1" vertical="center" wrapText="0"/>
    </xf>
    <xf borderId="22" fillId="14" fontId="12" numFmtId="0" xfId="0" applyAlignment="1" applyBorder="1" applyFont="1">
      <alignment horizontal="center" shrinkToFit="0" vertical="center" wrapText="1"/>
    </xf>
    <xf borderId="23" fillId="0" fontId="18" numFmtId="0" xfId="0" applyAlignment="1" applyBorder="1" applyFont="1">
      <alignment horizontal="left" shrinkToFit="0" vertical="center" wrapText="1"/>
    </xf>
    <xf borderId="24" fillId="0" fontId="4" numFmtId="0" xfId="0" applyAlignment="1" applyBorder="1" applyFont="1">
      <alignment horizontal="left" vertical="top"/>
    </xf>
    <xf borderId="14" fillId="0" fontId="18" numFmtId="0" xfId="0" applyAlignment="1" applyBorder="1" applyFont="1">
      <alignment horizontal="left" vertical="center"/>
    </xf>
    <xf borderId="15" fillId="0" fontId="18" numFmtId="0" xfId="0" applyAlignment="1" applyBorder="1" applyFont="1">
      <alignment horizontal="left" vertical="center"/>
    </xf>
    <xf borderId="23" fillId="0" fontId="18" numFmtId="0" xfId="0" applyAlignment="1" applyBorder="1" applyFont="1">
      <alignment horizontal="left" vertical="center"/>
    </xf>
    <xf borderId="0" fillId="0" fontId="18" numFmtId="0" xfId="0" applyAlignment="1" applyFont="1">
      <alignment horizontal="left" vertical="center"/>
    </xf>
    <xf borderId="24" fillId="0" fontId="8" numFmtId="0" xfId="0" applyAlignment="1" applyBorder="1" applyFont="1">
      <alignment horizontal="left" shrinkToFit="0" vertical="center" wrapText="1"/>
    </xf>
    <xf borderId="24" fillId="0" fontId="18" numFmtId="0" xfId="0" applyAlignment="1" applyBorder="1" applyFont="1">
      <alignment horizontal="left" vertical="center"/>
    </xf>
    <xf borderId="0" fillId="0" fontId="19" numFmtId="0" xfId="0" applyAlignment="1" applyFont="1">
      <alignment horizontal="left" vertical="center"/>
    </xf>
    <xf borderId="23" fillId="0" fontId="8" numFmtId="0" xfId="0" applyAlignment="1" applyBorder="1" applyFont="1">
      <alignment horizontal="left" shrinkToFit="0" vertical="center" wrapText="1"/>
    </xf>
    <xf borderId="23" fillId="0" fontId="19" numFmtId="0" xfId="0" applyAlignment="1" applyBorder="1" applyFont="1">
      <alignment horizontal="left" vertical="center"/>
    </xf>
    <xf borderId="23" fillId="0" fontId="8" numFmtId="0" xfId="0" applyAlignment="1" applyBorder="1" applyFont="1">
      <alignment horizontal="left" vertical="center"/>
    </xf>
    <xf borderId="24" fillId="0" fontId="8" numFmtId="0" xfId="0" applyAlignment="1" applyBorder="1" applyFont="1">
      <alignment horizontal="left" vertical="center"/>
    </xf>
    <xf borderId="25" fillId="4" fontId="19" numFmtId="0" xfId="0" applyAlignment="1" applyBorder="1" applyFont="1">
      <alignment horizontal="left" vertical="center"/>
    </xf>
    <xf borderId="25" fillId="4" fontId="18" numFmtId="0" xfId="0" applyAlignment="1" applyBorder="1" applyFont="1">
      <alignment horizontal="left" vertical="center"/>
    </xf>
    <xf borderId="26" fillId="4" fontId="18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top"/>
    </xf>
    <xf borderId="24" fillId="0" fontId="18" numFmtId="0" xfId="0" applyAlignment="1" applyBorder="1" applyFont="1">
      <alignment horizontal="left" vertical="top"/>
    </xf>
    <xf borderId="18" fillId="0" fontId="18" numFmtId="0" xfId="0" applyAlignment="1" applyBorder="1" applyFont="1">
      <alignment horizontal="left" shrinkToFit="0" vertical="center" wrapText="1"/>
    </xf>
    <xf borderId="1" fillId="14" fontId="13" numFmtId="0" xfId="0" applyAlignment="1" applyBorder="1" applyFont="1">
      <alignment horizontal="center" shrinkToFit="0" vertical="center" wrapText="1"/>
    </xf>
    <xf borderId="22" fillId="14" fontId="13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left" vertical="center"/>
    </xf>
    <xf borderId="14" fillId="0" fontId="8" numFmtId="0" xfId="0" applyAlignment="1" applyBorder="1" applyFont="1">
      <alignment horizontal="left" vertical="center"/>
    </xf>
    <xf borderId="14" fillId="0" fontId="8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8" fillId="0" fontId="8" numFmtId="0" xfId="0" applyAlignment="1" applyBorder="1" applyFont="1">
      <alignment horizontal="left" vertical="center"/>
    </xf>
    <xf borderId="19" fillId="0" fontId="8" numFmtId="0" xfId="0" applyAlignment="1" applyBorder="1" applyFont="1">
      <alignment horizontal="left" vertical="center"/>
    </xf>
    <xf borderId="27" fillId="14" fontId="12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left" vertical="top"/>
    </xf>
    <xf borderId="29" fillId="0" fontId="4" numFmtId="0" xfId="0" applyAlignment="1" applyBorder="1" applyFont="1">
      <alignment horizontal="left" vertical="top"/>
    </xf>
    <xf borderId="0" fillId="0" fontId="8" numFmtId="0" xfId="0" applyAlignment="1" applyFont="1">
      <alignment horizontal="center" vertical="center"/>
    </xf>
    <xf borderId="1" fillId="0" fontId="20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horizontal="left" shrinkToFit="0" vertical="center" wrapText="1"/>
    </xf>
    <xf borderId="2" fillId="0" fontId="18" numFmtId="164" xfId="0" applyAlignment="1" applyBorder="1" applyFont="1" applyNumberFormat="1">
      <alignment horizontal="center" shrinkToFit="0" vertical="center" wrapText="1"/>
    </xf>
    <xf borderId="1" fillId="0" fontId="12" numFmtId="164" xfId="0" applyAlignment="1" applyBorder="1" applyFont="1" applyNumberFormat="1">
      <alignment horizontal="center" shrinkToFit="0" vertical="center" wrapText="1"/>
    </xf>
    <xf borderId="2" fillId="0" fontId="16" numFmtId="0" xfId="0" applyAlignment="1" applyBorder="1" applyFont="1">
      <alignment horizontal="left" shrinkToFit="0" vertical="center" wrapText="1"/>
    </xf>
    <xf borderId="3" fillId="0" fontId="8" numFmtId="0" xfId="0" applyAlignment="1" applyBorder="1" applyFont="1">
      <alignment horizontal="center" vertical="center"/>
    </xf>
    <xf borderId="18" fillId="0" fontId="20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horizontal="center" shrinkToFit="0" vertical="center" wrapText="1"/>
    </xf>
    <xf borderId="19" fillId="0" fontId="18" numFmtId="0" xfId="0" applyAlignment="1" applyBorder="1" applyFont="1">
      <alignment horizontal="left" shrinkToFit="0" vertical="center" wrapText="1"/>
    </xf>
    <xf borderId="19" fillId="0" fontId="18" numFmtId="164" xfId="0" applyAlignment="1" applyBorder="1" applyFont="1" applyNumberFormat="1">
      <alignment horizontal="center" shrinkToFit="0" vertical="center" wrapText="1"/>
    </xf>
    <xf borderId="13" fillId="0" fontId="12" numFmtId="164" xfId="0" applyAlignment="1" applyBorder="1" applyFont="1" applyNumberFormat="1">
      <alignment horizontal="center" shrinkToFit="0" vertical="center" wrapText="1"/>
    </xf>
    <xf borderId="13" fillId="0" fontId="16" numFmtId="0" xfId="0" applyAlignment="1" applyBorder="1" applyFont="1">
      <alignment horizontal="center" shrinkToFit="0" vertical="center" wrapText="1"/>
    </xf>
    <xf borderId="13" fillId="0" fontId="20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8" numFmtId="164" xfId="0" applyAlignment="1" applyFont="1" applyNumberFormat="1">
      <alignment horizontal="center" shrinkToFit="0" vertical="center" wrapText="1"/>
    </xf>
    <xf borderId="23" fillId="0" fontId="4" numFmtId="0" xfId="0" applyAlignment="1" applyBorder="1" applyFont="1">
      <alignment horizontal="left" vertical="top"/>
    </xf>
    <xf borderId="2" fillId="0" fontId="8" numFmtId="0" xfId="0" applyAlignment="1" applyBorder="1" applyFont="1">
      <alignment horizontal="left"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horizontal="center" shrinkToFit="0" vertical="center" wrapText="1"/>
    </xf>
    <xf borderId="18" fillId="0" fontId="21" numFmtId="164" xfId="0" applyAlignment="1" applyBorder="1" applyFont="1" applyNumberFormat="1">
      <alignment horizontal="left" vertical="center"/>
    </xf>
    <xf borderId="20" fillId="0" fontId="8" numFmtId="0" xfId="0" applyAlignment="1" applyBorder="1" applyFont="1">
      <alignment horizontal="center" vertical="center"/>
    </xf>
    <xf borderId="30" fillId="14" fontId="13" numFmtId="0" xfId="0" applyAlignment="1" applyBorder="1" applyFont="1">
      <alignment horizontal="center" shrinkToFit="0" vertical="center" wrapText="1"/>
    </xf>
    <xf borderId="31" fillId="0" fontId="4" numFmtId="0" xfId="0" applyAlignment="1" applyBorder="1" applyFont="1">
      <alignment horizontal="left" vertical="top"/>
    </xf>
    <xf borderId="23" fillId="0" fontId="8" numFmtId="0" xfId="0" applyAlignment="1" applyBorder="1" applyFont="1">
      <alignment horizontal="left" vertical="bottom"/>
    </xf>
    <xf borderId="0" fillId="0" fontId="8" numFmtId="0" xfId="0" applyAlignment="1" applyFont="1">
      <alignment horizontal="left" vertical="bottom"/>
    </xf>
    <xf borderId="9" fillId="0" fontId="18" numFmtId="9" xfId="0" applyAlignment="1" applyBorder="1" applyFont="1" applyNumberFormat="1">
      <alignment horizontal="center" vertical="center"/>
    </xf>
    <xf borderId="14" fillId="0" fontId="18" numFmtId="0" xfId="0" applyAlignment="1" applyBorder="1" applyFont="1">
      <alignment horizontal="center" vertical="center"/>
    </xf>
    <xf borderId="15" fillId="0" fontId="18" numFmtId="0" xfId="0" applyAlignment="1" applyBorder="1" applyFont="1">
      <alignment horizontal="center" vertical="center"/>
    </xf>
    <xf borderId="4" fillId="0" fontId="18" numFmtId="9" xfId="0" applyAlignment="1" applyBorder="1" applyFont="1" applyNumberFormat="1">
      <alignment horizontal="center" vertical="center"/>
    </xf>
    <xf borderId="2" fillId="0" fontId="18" numFmtId="0" xfId="0" applyAlignment="1" applyBorder="1" applyFont="1">
      <alignment horizontal="left" vertical="center"/>
    </xf>
    <xf borderId="2" fillId="0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left" readingOrder="1" vertical="center"/>
    </xf>
    <xf borderId="0" fillId="0" fontId="8" numFmtId="0" xfId="0" applyAlignment="1" applyFont="1">
      <alignment horizontal="left" readingOrder="1" vertical="center"/>
    </xf>
    <xf borderId="23" fillId="0" fontId="22" numFmtId="0" xfId="0" applyAlignment="1" applyBorder="1" applyFont="1">
      <alignment horizontal="left" readingOrder="1" vertical="center"/>
    </xf>
    <xf borderId="0" fillId="0" fontId="22" numFmtId="0" xfId="0" applyAlignment="1" applyFont="1">
      <alignment horizontal="left" readingOrder="1" vertical="center"/>
    </xf>
    <xf borderId="23" fillId="0" fontId="18" numFmtId="9" xfId="0" applyAlignment="1" applyBorder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24" fillId="0" fontId="18" numFmtId="0" xfId="0" applyAlignment="1" applyBorder="1" applyFont="1">
      <alignment horizontal="center" vertical="center"/>
    </xf>
    <xf borderId="23" fillId="0" fontId="13" numFmtId="0" xfId="0" applyAlignment="1" applyBorder="1" applyFont="1">
      <alignment horizontal="left" readingOrder="1" vertical="center"/>
    </xf>
    <xf borderId="0" fillId="0" fontId="13" numFmtId="0" xfId="0" applyAlignment="1" applyFont="1">
      <alignment horizontal="left" readingOrder="1" vertical="center"/>
    </xf>
    <xf borderId="25" fillId="4" fontId="13" numFmtId="0" xfId="0" applyAlignment="1" applyBorder="1" applyFont="1">
      <alignment horizontal="left" vertical="center"/>
    </xf>
    <xf borderId="0" fillId="0" fontId="17" numFmtId="0" xfId="0" applyAlignment="1" applyFont="1">
      <alignment horizontal="left" vertical="center"/>
    </xf>
    <xf borderId="20" fillId="0" fontId="8" numFmtId="0" xfId="0" applyAlignment="1" applyBorder="1" applyFont="1">
      <alignment horizontal="left" vertical="center"/>
    </xf>
    <xf borderId="23" fillId="0" fontId="23" numFmtId="0" xfId="0" applyAlignment="1" applyBorder="1" applyFont="1">
      <alignment horizontal="left" shrinkToFit="0" vertical="center" wrapText="1"/>
    </xf>
    <xf borderId="23" fillId="0" fontId="12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13" fillId="0" fontId="14" numFmtId="0" xfId="0" applyAlignment="1" applyBorder="1" applyFont="1">
      <alignment horizontal="right" shrinkToFit="0" vertical="center" wrapText="1"/>
    </xf>
    <xf borderId="15" fillId="0" fontId="24" numFmtId="0" xfId="0" applyAlignment="1" applyBorder="1" applyFont="1">
      <alignment horizontal="left" shrinkToFit="0" vertical="center" wrapText="1"/>
    </xf>
    <xf borderId="17" fillId="15" fontId="15" numFmtId="1" xfId="0" applyAlignment="1" applyBorder="1" applyFont="1" applyNumberFormat="1">
      <alignment horizontal="center" shrinkToFit="0" vertical="center" wrapText="1"/>
    </xf>
    <xf borderId="22" fillId="14" fontId="25" numFmtId="0" xfId="0" applyAlignment="1" applyBorder="1" applyFont="1">
      <alignment horizontal="center" shrinkToFit="0" vertical="center" wrapText="1"/>
    </xf>
    <xf borderId="23" fillId="0" fontId="12" numFmtId="164" xfId="0" applyAlignment="1" applyBorder="1" applyFont="1" applyNumberFormat="1">
      <alignment horizontal="center" shrinkToFit="0" vertical="center" wrapText="1"/>
    </xf>
    <xf borderId="9" fillId="5" fontId="12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left" shrinkToFit="0" vertical="center" wrapText="1"/>
    </xf>
    <xf borderId="13" fillId="0" fontId="18" numFmtId="0" xfId="0" applyAlignment="1" applyBorder="1" applyFont="1">
      <alignment horizontal="left" shrinkToFit="0" vertical="center" wrapText="1"/>
    </xf>
    <xf borderId="13" fillId="0" fontId="18" numFmtId="0" xfId="0" applyAlignment="1" applyBorder="1" applyFont="1">
      <alignment horizontal="left" vertical="center"/>
    </xf>
    <xf borderId="0" fillId="0" fontId="13" numFmtId="0" xfId="0" applyAlignment="1" applyFont="1">
      <alignment horizontal="left" vertical="center"/>
    </xf>
    <xf borderId="18" fillId="0" fontId="18" numFmtId="0" xfId="0" applyAlignment="1" applyBorder="1" applyFont="1">
      <alignment horizontal="left" vertical="center"/>
    </xf>
    <xf borderId="19" fillId="0" fontId="18" numFmtId="0" xfId="0" applyAlignment="1" applyBorder="1" applyFont="1">
      <alignment horizontal="left" vertical="center"/>
    </xf>
    <xf borderId="20" fillId="0" fontId="18" numFmtId="0" xfId="0" applyAlignment="1" applyBorder="1" applyFont="1">
      <alignment horizontal="left" shrinkToFit="0" vertical="center" wrapText="1"/>
    </xf>
    <xf borderId="1" fillId="5" fontId="13" numFmtId="0" xfId="0" applyAlignment="1" applyBorder="1" applyFont="1">
      <alignment horizontal="center" shrinkToFit="0" vertical="center" wrapText="1"/>
    </xf>
    <xf borderId="22" fillId="5" fontId="26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left" shrinkToFit="0" vertical="center" wrapText="1"/>
    </xf>
    <xf borderId="19" fillId="0" fontId="8" numFmtId="0" xfId="0" applyAlignment="1" applyBorder="1" applyFont="1">
      <alignment horizontal="left" shrinkToFit="0" vertical="center" wrapText="1"/>
    </xf>
    <xf borderId="20" fillId="0" fontId="8" numFmtId="0" xfId="0" applyAlignment="1" applyBorder="1" applyFont="1">
      <alignment horizontal="left" shrinkToFit="0" vertical="center" wrapText="1"/>
    </xf>
    <xf borderId="1" fillId="5" fontId="12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left" shrinkToFit="0" vertical="center" wrapText="1"/>
    </xf>
    <xf borderId="24" fillId="0" fontId="8" numFmtId="0" xfId="0" applyAlignment="1" applyBorder="1" applyFont="1">
      <alignment horizontal="center" vertical="center"/>
    </xf>
    <xf borderId="32" fillId="16" fontId="12" numFmtId="0" xfId="0" applyAlignment="1" applyBorder="1" applyFill="1" applyFont="1">
      <alignment horizontal="center" shrinkToFit="0" vertical="center" wrapText="1"/>
    </xf>
    <xf borderId="33" fillId="16" fontId="12" numFmtId="0" xfId="0" applyAlignment="1" applyBorder="1" applyFont="1">
      <alignment horizontal="center" shrinkToFit="0" vertical="center" wrapText="1"/>
    </xf>
    <xf borderId="34" fillId="0" fontId="4" numFmtId="0" xfId="0" applyAlignment="1" applyBorder="1" applyFont="1">
      <alignment horizontal="left" vertical="top"/>
    </xf>
    <xf borderId="35" fillId="0" fontId="4" numFmtId="0" xfId="0" applyAlignment="1" applyBorder="1" applyFont="1">
      <alignment horizontal="left" vertical="top"/>
    </xf>
    <xf borderId="36" fillId="0" fontId="4" numFmtId="0" xfId="0" applyAlignment="1" applyBorder="1" applyFont="1">
      <alignment horizontal="left" vertical="top"/>
    </xf>
    <xf borderId="37" fillId="0" fontId="4" numFmtId="0" xfId="0" applyAlignment="1" applyBorder="1" applyFont="1">
      <alignment horizontal="left" vertical="top"/>
    </xf>
    <xf borderId="38" fillId="16" fontId="12" numFmtId="0" xfId="0" applyAlignment="1" applyBorder="1" applyFont="1">
      <alignment horizontal="center" shrinkToFit="0" vertical="center" wrapText="1"/>
    </xf>
    <xf borderId="39" fillId="16" fontId="13" numFmtId="0" xfId="0" applyAlignment="1" applyBorder="1" applyFont="1">
      <alignment horizontal="center" shrinkToFit="0" vertical="center" wrapText="1"/>
    </xf>
    <xf borderId="40" fillId="0" fontId="14" numFmtId="0" xfId="0" applyAlignment="1" applyBorder="1" applyFont="1">
      <alignment horizontal="right" shrinkToFit="0" vertical="center" wrapText="1"/>
    </xf>
    <xf borderId="41" fillId="0" fontId="24" numFmtId="0" xfId="0" applyAlignment="1" applyBorder="1" applyFont="1">
      <alignment horizontal="left" shrinkToFit="0" vertical="center" wrapText="1"/>
    </xf>
    <xf borderId="42" fillId="15" fontId="15" numFmtId="1" xfId="0" applyAlignment="1" applyBorder="1" applyFont="1" applyNumberFormat="1">
      <alignment horizontal="left" shrinkToFit="0" vertical="center" wrapText="1"/>
    </xf>
    <xf borderId="43" fillId="0" fontId="4" numFmtId="0" xfId="0" applyAlignment="1" applyBorder="1" applyFont="1">
      <alignment horizontal="left" vertical="top"/>
    </xf>
    <xf borderId="44" fillId="15" fontId="15" numFmtId="1" xfId="0" applyAlignment="1" applyBorder="1" applyFont="1" applyNumberFormat="1">
      <alignment horizontal="left" shrinkToFit="1" vertical="center" wrapText="0"/>
    </xf>
    <xf borderId="45" fillId="0" fontId="4" numFmtId="0" xfId="0" applyAlignment="1" applyBorder="1" applyFont="1">
      <alignment horizontal="left" vertical="top"/>
    </xf>
    <xf borderId="46" fillId="15" fontId="15" numFmtId="1" xfId="0" applyAlignment="1" applyBorder="1" applyFont="1" applyNumberFormat="1">
      <alignment horizontal="center" shrinkToFit="0" vertical="center" wrapText="1"/>
    </xf>
    <xf borderId="46" fillId="15" fontId="15" numFmtId="1" xfId="0" applyAlignment="1" applyBorder="1" applyFont="1" applyNumberFormat="1">
      <alignment horizontal="center" shrinkToFit="1" vertical="center" wrapText="0"/>
    </xf>
    <xf borderId="47" fillId="0" fontId="4" numFmtId="0" xfId="0" applyAlignment="1" applyBorder="1" applyFont="1">
      <alignment horizontal="left" vertical="top"/>
    </xf>
    <xf borderId="48" fillId="0" fontId="4" numFmtId="0" xfId="0" applyAlignment="1" applyBorder="1" applyFont="1">
      <alignment horizontal="left" vertical="top"/>
    </xf>
    <xf borderId="49" fillId="0" fontId="4" numFmtId="0" xfId="0" applyAlignment="1" applyBorder="1" applyFont="1">
      <alignment horizontal="left" vertical="top"/>
    </xf>
    <xf borderId="50" fillId="0" fontId="4" numFmtId="0" xfId="0" applyAlignment="1" applyBorder="1" applyFont="1">
      <alignment horizontal="left" vertical="top"/>
    </xf>
    <xf borderId="51" fillId="15" fontId="15" numFmtId="1" xfId="0" applyAlignment="1" applyBorder="1" applyFont="1" applyNumberFormat="1">
      <alignment horizontal="left" shrinkToFit="1" vertical="top" wrapText="0"/>
    </xf>
    <xf borderId="52" fillId="0" fontId="4" numFmtId="0" xfId="0" applyAlignment="1" applyBorder="1" applyFont="1">
      <alignment horizontal="left" vertical="top"/>
    </xf>
    <xf borderId="53" fillId="0" fontId="4" numFmtId="0" xfId="0" applyAlignment="1" applyBorder="1" applyFont="1">
      <alignment horizontal="left" vertical="top"/>
    </xf>
    <xf borderId="54" fillId="0" fontId="16" numFmtId="0" xfId="0" applyAlignment="1" applyBorder="1" applyFont="1">
      <alignment horizontal="center" shrinkToFit="0" vertical="center" wrapText="1"/>
    </xf>
    <xf borderId="55" fillId="0" fontId="16" numFmtId="0" xfId="0" applyAlignment="1" applyBorder="1" applyFont="1">
      <alignment horizontal="center" shrinkToFit="0" vertical="center" wrapText="1"/>
    </xf>
    <xf borderId="24" fillId="0" fontId="16" numFmtId="0" xfId="0" applyAlignment="1" applyBorder="1" applyFont="1">
      <alignment horizontal="left" shrinkToFit="0" vertical="center" wrapText="1"/>
    </xf>
    <xf borderId="56" fillId="0" fontId="17" numFmtId="1" xfId="0" applyAlignment="1" applyBorder="1" applyFont="1" applyNumberFormat="1">
      <alignment horizontal="center" vertical="center"/>
    </xf>
    <xf borderId="57" fillId="0" fontId="8" numFmtId="1" xfId="0" applyAlignment="1" applyBorder="1" applyFont="1" applyNumberFormat="1">
      <alignment horizontal="center" vertical="center"/>
    </xf>
    <xf borderId="39" fillId="0" fontId="8" numFmtId="1" xfId="0" applyAlignment="1" applyBorder="1" applyFont="1" applyNumberFormat="1">
      <alignment horizontal="center" shrinkToFit="1" vertical="center" wrapText="0"/>
    </xf>
    <xf borderId="53" fillId="0" fontId="16" numFmtId="0" xfId="0" applyAlignment="1" applyBorder="1" applyFont="1">
      <alignment horizontal="center" shrinkToFit="0" vertical="center" wrapText="1"/>
    </xf>
    <xf borderId="58" fillId="0" fontId="16" numFmtId="0" xfId="0" applyAlignment="1" applyBorder="1" applyFont="1">
      <alignment horizontal="center" shrinkToFit="0" vertical="center" wrapText="1"/>
    </xf>
    <xf borderId="39" fillId="0" fontId="16" numFmtId="0" xfId="0" applyAlignment="1" applyBorder="1" applyFont="1">
      <alignment horizontal="left" shrinkToFit="0" vertical="center" wrapText="1"/>
    </xf>
    <xf borderId="59" fillId="0" fontId="17" numFmtId="1" xfId="0" applyAlignment="1" applyBorder="1" applyFont="1" applyNumberFormat="1">
      <alignment horizontal="center" vertical="center"/>
    </xf>
    <xf borderId="59" fillId="0" fontId="8" numFmtId="1" xfId="0" applyAlignment="1" applyBorder="1" applyFont="1" applyNumberFormat="1">
      <alignment horizontal="center" vertical="center"/>
    </xf>
    <xf borderId="46" fillId="0" fontId="16" numFmtId="0" xfId="0" applyAlignment="1" applyBorder="1" applyFont="1">
      <alignment horizontal="center" shrinkToFit="0" vertical="center" wrapText="1"/>
    </xf>
    <xf borderId="60" fillId="0" fontId="16" numFmtId="0" xfId="0" applyAlignment="1" applyBorder="1" applyFont="1">
      <alignment horizontal="left" shrinkToFit="0" vertical="center" wrapText="1"/>
    </xf>
    <xf borderId="61" fillId="0" fontId="17" numFmtId="1" xfId="0" applyAlignment="1" applyBorder="1" applyFont="1" applyNumberFormat="1">
      <alignment horizontal="center" vertical="center"/>
    </xf>
    <xf borderId="62" fillId="16" fontId="12" numFmtId="0" xfId="0" applyAlignment="1" applyBorder="1" applyFont="1">
      <alignment horizontal="center" shrinkToFit="0" vertical="center" wrapText="1"/>
    </xf>
    <xf borderId="63" fillId="0" fontId="4" numFmtId="0" xfId="0" applyAlignment="1" applyBorder="1" applyFont="1">
      <alignment horizontal="left" vertical="top"/>
    </xf>
    <xf borderId="64" fillId="0" fontId="4" numFmtId="0" xfId="0" applyAlignment="1" applyBorder="1" applyFont="1">
      <alignment horizontal="left" vertical="top"/>
    </xf>
    <xf borderId="65" fillId="16" fontId="12" numFmtId="0" xfId="0" applyAlignment="1" applyBorder="1" applyFont="1">
      <alignment horizontal="center" shrinkToFit="0" vertical="center" wrapText="1"/>
    </xf>
    <xf borderId="66" fillId="0" fontId="4" numFmtId="0" xfId="0" applyAlignment="1" applyBorder="1" applyFont="1">
      <alignment horizontal="left" vertical="top"/>
    </xf>
    <xf borderId="67" fillId="0" fontId="18" numFmtId="0" xfId="0" applyAlignment="1" applyBorder="1" applyFont="1">
      <alignment horizontal="left" vertical="center"/>
    </xf>
    <xf borderId="40" fillId="0" fontId="18" numFmtId="0" xfId="0" applyAlignment="1" applyBorder="1" applyFont="1">
      <alignment horizontal="left" vertical="center"/>
    </xf>
    <xf borderId="68" fillId="0" fontId="18" numFmtId="0" xfId="0" applyAlignment="1" applyBorder="1" applyFont="1">
      <alignment horizontal="left" vertical="center"/>
    </xf>
    <xf borderId="41" fillId="0" fontId="18" numFmtId="0" xfId="0" applyAlignment="1" applyBorder="1" applyFont="1">
      <alignment horizontal="left" vertical="center"/>
    </xf>
    <xf borderId="47" fillId="0" fontId="18" numFmtId="0" xfId="0" applyAlignment="1" applyBorder="1" applyFont="1">
      <alignment horizontal="left" vertical="center"/>
    </xf>
    <xf borderId="69" fillId="0" fontId="18" numFmtId="0" xfId="0" applyAlignment="1" applyBorder="1" applyFont="1">
      <alignment horizontal="left" vertical="center"/>
    </xf>
    <xf borderId="47" fillId="0" fontId="19" numFmtId="0" xfId="0" applyAlignment="1" applyBorder="1" applyFont="1">
      <alignment horizontal="left" vertical="center"/>
    </xf>
    <xf borderId="67" fillId="0" fontId="8" numFmtId="0" xfId="0" applyAlignment="1" applyBorder="1" applyFont="1">
      <alignment horizontal="left" vertical="center"/>
    </xf>
    <xf borderId="70" fillId="4" fontId="19" numFmtId="0" xfId="0" applyAlignment="1" applyBorder="1" applyFont="1">
      <alignment horizontal="left" vertical="center"/>
    </xf>
    <xf borderId="71" fillId="4" fontId="18" numFmtId="0" xfId="0" applyAlignment="1" applyBorder="1" applyFont="1">
      <alignment horizontal="left" vertical="center"/>
    </xf>
    <xf borderId="47" fillId="0" fontId="18" numFmtId="0" xfId="0" applyAlignment="1" applyBorder="1" applyFont="1">
      <alignment horizontal="left" shrinkToFit="0" vertical="center" wrapText="1"/>
    </xf>
    <xf borderId="69" fillId="0" fontId="18" numFmtId="0" xfId="0" applyAlignment="1" applyBorder="1" applyFont="1">
      <alignment horizontal="left" shrinkToFit="0" vertical="center" wrapText="1"/>
    </xf>
    <xf borderId="72" fillId="0" fontId="18" numFmtId="0" xfId="0" applyAlignment="1" applyBorder="1" applyFont="1">
      <alignment horizontal="left" shrinkToFit="0" vertical="center" wrapText="1"/>
    </xf>
    <xf borderId="73" fillId="0" fontId="4" numFmtId="0" xfId="0" applyAlignment="1" applyBorder="1" applyFont="1">
      <alignment horizontal="left" vertical="top"/>
    </xf>
    <xf borderId="74" fillId="16" fontId="12" numFmtId="0" xfId="0" applyAlignment="1" applyBorder="1" applyFont="1">
      <alignment horizontal="center" shrinkToFit="0" vertical="center" wrapText="1"/>
    </xf>
    <xf borderId="75" fillId="0" fontId="4" numFmtId="0" xfId="0" applyAlignment="1" applyBorder="1" applyFont="1">
      <alignment horizontal="left" vertical="top"/>
    </xf>
    <xf borderId="76" fillId="16" fontId="13" numFmtId="0" xfId="0" applyAlignment="1" applyBorder="1" applyFont="1">
      <alignment horizontal="center" shrinkToFit="0" vertical="center" wrapText="1"/>
    </xf>
    <xf borderId="77" fillId="0" fontId="4" numFmtId="0" xfId="0" applyAlignment="1" applyBorder="1" applyFont="1">
      <alignment horizontal="left" vertical="top"/>
    </xf>
    <xf borderId="78" fillId="0" fontId="4" numFmtId="0" xfId="0" applyAlignment="1" applyBorder="1" applyFont="1">
      <alignment horizontal="left" vertical="top"/>
    </xf>
    <xf borderId="40" fillId="0" fontId="8" numFmtId="0" xfId="0" applyAlignment="1" applyBorder="1" applyFont="1">
      <alignment horizontal="left" vertical="center"/>
    </xf>
    <xf borderId="68" fillId="0" fontId="8" numFmtId="0" xfId="0" applyAlignment="1" applyBorder="1" applyFont="1">
      <alignment horizontal="left" vertical="center"/>
    </xf>
    <xf borderId="68" fillId="0" fontId="8" numFmtId="0" xfId="0" applyAlignment="1" applyBorder="1" applyFont="1">
      <alignment horizontal="left" shrinkToFit="0" vertical="center" wrapText="1"/>
    </xf>
    <xf borderId="41" fillId="0" fontId="8" numFmtId="0" xfId="0" applyAlignment="1" applyBorder="1" applyFont="1">
      <alignment horizontal="left" shrinkToFit="0" vertical="center" wrapText="1"/>
    </xf>
    <xf borderId="47" fillId="0" fontId="8" numFmtId="0" xfId="0" applyAlignment="1" applyBorder="1" applyFont="1">
      <alignment horizontal="left" shrinkToFit="0" vertical="center" wrapText="1"/>
    </xf>
    <xf borderId="69" fillId="0" fontId="8" numFmtId="0" xfId="0" applyAlignment="1" applyBorder="1" applyFont="1">
      <alignment horizontal="left" shrinkToFit="0" vertical="center" wrapText="1"/>
    </xf>
    <xf borderId="69" fillId="0" fontId="8" numFmtId="0" xfId="0" applyAlignment="1" applyBorder="1" applyFont="1">
      <alignment horizontal="center" shrinkToFit="0" vertical="center" wrapText="1"/>
    </xf>
    <xf borderId="79" fillId="16" fontId="12" numFmtId="0" xfId="0" applyAlignment="1" applyBorder="1" applyFont="1">
      <alignment horizontal="center" shrinkToFit="0" vertical="center" wrapText="1"/>
    </xf>
    <xf borderId="80" fillId="0" fontId="4" numFmtId="0" xfId="0" applyAlignment="1" applyBorder="1" applyFont="1">
      <alignment horizontal="left" vertical="top"/>
    </xf>
    <xf borderId="81" fillId="0" fontId="4" numFmtId="0" xfId="0" applyAlignment="1" applyBorder="1" applyFont="1">
      <alignment horizontal="left" vertical="top"/>
    </xf>
    <xf borderId="79" fillId="16" fontId="12" numFmtId="0" xfId="0" applyAlignment="1" applyBorder="1" applyFont="1">
      <alignment horizontal="center" vertical="center"/>
    </xf>
    <xf borderId="82" fillId="0" fontId="20" numFmtId="0" xfId="0" applyAlignment="1" applyBorder="1" applyFont="1">
      <alignment horizontal="center" shrinkToFit="0" vertical="center" wrapText="1"/>
    </xf>
    <xf borderId="83" fillId="0" fontId="18" numFmtId="0" xfId="0" applyAlignment="1" applyBorder="1" applyFont="1">
      <alignment horizontal="center" shrinkToFit="0" vertical="center" wrapText="1"/>
    </xf>
    <xf borderId="68" fillId="0" fontId="18" numFmtId="0" xfId="0" applyAlignment="1" applyBorder="1" applyFont="1">
      <alignment horizontal="left" shrinkToFit="0" vertical="center" wrapText="1"/>
    </xf>
    <xf borderId="84" fillId="0" fontId="18" numFmtId="164" xfId="0" applyAlignment="1" applyBorder="1" applyFont="1" applyNumberFormat="1">
      <alignment horizontal="left" shrinkToFit="0" vertical="top" wrapText="1"/>
    </xf>
    <xf borderId="63" fillId="0" fontId="16" numFmtId="0" xfId="0" applyAlignment="1" applyBorder="1" applyFont="1">
      <alignment horizontal="left" shrinkToFit="0" vertical="center" wrapText="1"/>
    </xf>
    <xf borderId="85" fillId="0" fontId="16" numFmtId="0" xfId="0" applyAlignment="1" applyBorder="1" applyFont="1">
      <alignment horizontal="left" shrinkToFit="0" vertical="center" wrapText="1"/>
    </xf>
    <xf borderId="54" fillId="0" fontId="20" numFmtId="0" xfId="0" applyAlignment="1" applyBorder="1" applyFont="1">
      <alignment horizontal="center" shrinkToFit="0" vertical="center" wrapText="1"/>
    </xf>
    <xf borderId="55" fillId="0" fontId="18" numFmtId="0" xfId="0" applyAlignment="1" applyBorder="1" applyFont="1">
      <alignment horizontal="center" shrinkToFit="0" vertical="center" wrapText="1"/>
    </xf>
    <xf borderId="86" fillId="0" fontId="18" numFmtId="0" xfId="0" applyAlignment="1" applyBorder="1" applyFont="1">
      <alignment horizontal="left" shrinkToFit="0" vertical="center" wrapText="1"/>
    </xf>
    <xf borderId="86" fillId="0" fontId="18" numFmtId="164" xfId="0" applyAlignment="1" applyBorder="1" applyFont="1" applyNumberFormat="1">
      <alignment horizontal="center" shrinkToFit="0" vertical="center" wrapText="1"/>
    </xf>
    <xf borderId="54" fillId="0" fontId="12" numFmtId="164" xfId="0" applyAlignment="1" applyBorder="1" applyFont="1" applyNumberFormat="1">
      <alignment horizontal="center" shrinkToFit="0" vertical="center" wrapText="1"/>
    </xf>
    <xf borderId="87" fillId="0" fontId="4" numFmtId="0" xfId="0" applyAlignment="1" applyBorder="1" applyFont="1">
      <alignment horizontal="left" vertical="top"/>
    </xf>
    <xf borderId="68" fillId="0" fontId="16" numFmtId="0" xfId="0" applyAlignment="1" applyBorder="1" applyFont="1">
      <alignment horizontal="center" shrinkToFit="0" vertical="center" wrapText="1"/>
    </xf>
    <xf borderId="68" fillId="0" fontId="4" numFmtId="0" xfId="0" applyAlignment="1" applyBorder="1" applyFont="1">
      <alignment horizontal="left" vertical="top"/>
    </xf>
    <xf borderId="84" fillId="0" fontId="4" numFmtId="0" xfId="0" applyAlignment="1" applyBorder="1" applyFont="1">
      <alignment horizontal="left" vertical="top"/>
    </xf>
    <xf borderId="88" fillId="0" fontId="20" numFmtId="0" xfId="0" applyAlignment="1" applyBorder="1" applyFont="1">
      <alignment horizontal="center" shrinkToFit="0" vertical="center" wrapText="1"/>
    </xf>
    <xf borderId="89" fillId="0" fontId="18" numFmtId="0" xfId="0" applyAlignment="1" applyBorder="1" applyFont="1">
      <alignment horizontal="center" shrinkToFit="0" vertical="center" wrapText="1"/>
    </xf>
    <xf borderId="90" fillId="0" fontId="18" numFmtId="0" xfId="0" applyAlignment="1" applyBorder="1" applyFont="1">
      <alignment horizontal="left" shrinkToFit="0" vertical="center" wrapText="1"/>
    </xf>
    <xf borderId="91" fillId="0" fontId="18" numFmtId="164" xfId="0" applyAlignment="1" applyBorder="1" applyFont="1" applyNumberFormat="1">
      <alignment horizontal="center" shrinkToFit="0" vertical="center" wrapText="1"/>
    </xf>
    <xf borderId="92" fillId="0" fontId="4" numFmtId="0" xfId="0" applyAlignment="1" applyBorder="1" applyFont="1">
      <alignment horizontal="left" vertical="top"/>
    </xf>
    <xf borderId="93" fillId="0" fontId="20" numFmtId="0" xfId="0" applyAlignment="1" applyBorder="1" applyFont="1">
      <alignment horizontal="center" shrinkToFit="0" vertical="center" wrapText="1"/>
    </xf>
    <xf borderId="94" fillId="0" fontId="18" numFmtId="0" xfId="0" applyAlignment="1" applyBorder="1" applyFont="1">
      <alignment horizontal="center" shrinkToFit="0" vertical="center" wrapText="1"/>
    </xf>
    <xf borderId="94" fillId="0" fontId="18" numFmtId="0" xfId="0" applyAlignment="1" applyBorder="1" applyFont="1">
      <alignment horizontal="left" shrinkToFit="0" vertical="center" wrapText="1"/>
    </xf>
    <xf borderId="95" fillId="0" fontId="18" numFmtId="164" xfId="0" applyAlignment="1" applyBorder="1" applyFont="1" applyNumberFormat="1">
      <alignment horizontal="left" shrinkToFit="0" vertical="top" wrapText="1"/>
    </xf>
    <xf borderId="84" fillId="0" fontId="18" numFmtId="0" xfId="0" applyAlignment="1" applyBorder="1" applyFont="1">
      <alignment horizontal="left" shrinkToFit="0" vertical="center" wrapText="1"/>
    </xf>
    <xf borderId="96" fillId="16" fontId="12" numFmtId="0" xfId="0" applyAlignment="1" applyBorder="1" applyFont="1">
      <alignment horizontal="center" shrinkToFit="0" vertical="center" wrapText="1"/>
    </xf>
    <xf borderId="97" fillId="16" fontId="13" numFmtId="0" xfId="0" applyAlignment="1" applyBorder="1" applyFont="1">
      <alignment horizontal="center" shrinkToFit="0" vertical="center" wrapText="1"/>
    </xf>
    <xf borderId="98" fillId="0" fontId="4" numFmtId="0" xfId="0" applyAlignment="1" applyBorder="1" applyFont="1">
      <alignment horizontal="left" vertical="top"/>
    </xf>
    <xf borderId="99" fillId="0" fontId="4" numFmtId="0" xfId="0" applyAlignment="1" applyBorder="1" applyFont="1">
      <alignment horizontal="left" vertical="top"/>
    </xf>
    <xf borderId="47" fillId="0" fontId="8" numFmtId="0" xfId="0" applyAlignment="1" applyBorder="1" applyFont="1">
      <alignment horizontal="left" vertical="bottom"/>
    </xf>
    <xf borderId="100" fillId="0" fontId="18" numFmtId="9" xfId="0" applyAlignment="1" applyBorder="1" applyFont="1" applyNumberFormat="1">
      <alignment horizontal="center" vertical="center"/>
    </xf>
    <xf borderId="101" fillId="0" fontId="18" numFmtId="0" xfId="0" applyAlignment="1" applyBorder="1" applyFont="1">
      <alignment horizontal="left" vertical="center"/>
    </xf>
    <xf borderId="101" fillId="0" fontId="18" numFmtId="0" xfId="0" applyAlignment="1" applyBorder="1" applyFont="1">
      <alignment horizontal="center" vertical="center"/>
    </xf>
    <xf borderId="102" fillId="0" fontId="18" numFmtId="0" xfId="0" applyAlignment="1" applyBorder="1" applyFont="1">
      <alignment horizontal="center" vertical="center"/>
    </xf>
    <xf borderId="103" fillId="0" fontId="18" numFmtId="9" xfId="0" applyAlignment="1" applyBorder="1" applyFont="1" applyNumberFormat="1">
      <alignment horizontal="center" vertical="center"/>
    </xf>
    <xf borderId="104" fillId="0" fontId="18" numFmtId="0" xfId="0" applyAlignment="1" applyBorder="1" applyFont="1">
      <alignment horizontal="left" vertical="center"/>
    </xf>
    <xf borderId="104" fillId="0" fontId="18" numFmtId="0" xfId="0" applyAlignment="1" applyBorder="1" applyFont="1">
      <alignment horizontal="center" vertical="center"/>
    </xf>
    <xf borderId="105" fillId="0" fontId="18" numFmtId="0" xfId="0" applyAlignment="1" applyBorder="1" applyFont="1">
      <alignment horizontal="center" vertical="center"/>
    </xf>
    <xf borderId="47" fillId="0" fontId="8" numFmtId="0" xfId="0" applyAlignment="1" applyBorder="1" applyFont="1">
      <alignment horizontal="left" readingOrder="1" vertical="center"/>
    </xf>
    <xf borderId="106" fillId="0" fontId="18" numFmtId="9" xfId="0" applyAlignment="1" applyBorder="1" applyFont="1" applyNumberFormat="1">
      <alignment horizontal="center" vertical="center"/>
    </xf>
    <xf borderId="94" fillId="0" fontId="18" numFmtId="0" xfId="0" applyAlignment="1" applyBorder="1" applyFont="1">
      <alignment horizontal="left" vertical="center"/>
    </xf>
    <xf borderId="94" fillId="0" fontId="18" numFmtId="0" xfId="0" applyAlignment="1" applyBorder="1" applyFont="1">
      <alignment horizontal="center" vertical="center"/>
    </xf>
    <xf borderId="107" fillId="0" fontId="18" numFmtId="0" xfId="0" applyAlignment="1" applyBorder="1" applyFont="1">
      <alignment horizontal="center" vertical="center"/>
    </xf>
    <xf borderId="47" fillId="0" fontId="22" numFmtId="0" xfId="0" applyAlignment="1" applyBorder="1" applyFont="1">
      <alignment horizontal="left" readingOrder="1" vertical="center"/>
    </xf>
    <xf borderId="108" fillId="0" fontId="18" numFmtId="9" xfId="0" applyAlignment="1" applyBorder="1" applyFont="1" applyNumberFormat="1">
      <alignment horizontal="center" vertical="center"/>
    </xf>
    <xf borderId="109" fillId="0" fontId="18" numFmtId="0" xfId="0" applyAlignment="1" applyBorder="1" applyFont="1">
      <alignment horizontal="center" vertical="center"/>
    </xf>
    <xf borderId="108" fillId="0" fontId="8" numFmtId="0" xfId="0" applyAlignment="1" applyBorder="1" applyFont="1">
      <alignment horizontal="left" vertical="center"/>
    </xf>
    <xf borderId="109" fillId="0" fontId="8" numFmtId="0" xfId="0" applyAlignment="1" applyBorder="1" applyFont="1">
      <alignment horizontal="left" vertical="center"/>
    </xf>
    <xf borderId="47" fillId="0" fontId="13" numFmtId="0" xfId="0" applyAlignment="1" applyBorder="1" applyFont="1">
      <alignment horizontal="left" readingOrder="1" vertical="center"/>
    </xf>
    <xf borderId="47" fillId="0" fontId="8" numFmtId="0" xfId="0" applyAlignment="1" applyBorder="1" applyFont="1">
      <alignment horizontal="left" vertical="center"/>
    </xf>
    <xf borderId="110" fillId="16" fontId="12" numFmtId="0" xfId="0" applyAlignment="1" applyBorder="1" applyFont="1">
      <alignment horizontal="center" shrinkToFit="0" vertical="center" wrapText="1"/>
    </xf>
    <xf borderId="90" fillId="0" fontId="4" numFmtId="0" xfId="0" applyAlignment="1" applyBorder="1" applyFont="1">
      <alignment horizontal="left" vertical="top"/>
    </xf>
    <xf borderId="91" fillId="0" fontId="4" numFmtId="0" xfId="0" applyAlignment="1" applyBorder="1" applyFont="1">
      <alignment horizontal="left" vertical="top"/>
    </xf>
    <xf borderId="108" fillId="0" fontId="18" numFmtId="0" xfId="0" applyAlignment="1" applyBorder="1" applyFont="1">
      <alignment horizontal="left" vertical="center"/>
    </xf>
    <xf borderId="111" fillId="0" fontId="18" numFmtId="0" xfId="0" applyAlignment="1" applyBorder="1" applyFont="1">
      <alignment horizontal="left" vertical="center"/>
    </xf>
    <xf borderId="109" fillId="0" fontId="18" numFmtId="0" xfId="0" applyAlignment="1" applyBorder="1" applyFont="1">
      <alignment horizontal="left" vertical="center"/>
    </xf>
    <xf borderId="108" fillId="0" fontId="18" numFmtId="0" xfId="0" applyAlignment="1" applyBorder="1" applyFont="1">
      <alignment horizontal="left" shrinkToFit="0" vertical="center" wrapText="1"/>
    </xf>
    <xf borderId="109" fillId="0" fontId="4" numFmtId="0" xfId="0" applyAlignment="1" applyBorder="1" applyFont="1">
      <alignment horizontal="left" vertical="top"/>
    </xf>
    <xf borderId="108" fillId="0" fontId="23" numFmtId="0" xfId="0" applyAlignment="1" applyBorder="1" applyFont="1">
      <alignment horizontal="left" shrinkToFit="0" vertical="center" wrapText="1"/>
    </xf>
    <xf borderId="108" fillId="0" fontId="12" numFmtId="0" xfId="0" applyAlignment="1" applyBorder="1" applyFont="1">
      <alignment horizontal="left" vertical="center"/>
    </xf>
    <xf borderId="112" fillId="0" fontId="18" numFmtId="0" xfId="0" applyAlignment="1" applyBorder="1" applyFont="1">
      <alignment horizontal="left" shrinkToFit="0" vertical="center" wrapText="1"/>
    </xf>
    <xf borderId="113" fillId="0" fontId="4" numFmtId="0" xfId="0" applyAlignment="1" applyBorder="1" applyFont="1">
      <alignment horizontal="left" vertical="top"/>
    </xf>
    <xf borderId="114" fillId="0" fontId="4" numFmtId="0" xfId="0" applyAlignment="1" applyBorder="1" applyFont="1">
      <alignment horizontal="left" vertical="top"/>
    </xf>
    <xf borderId="9" fillId="17" fontId="12" numFmtId="0" xfId="0" applyAlignment="1" applyBorder="1" applyFill="1" applyFont="1">
      <alignment horizontal="center" shrinkToFit="0" vertical="center" wrapText="1"/>
    </xf>
    <xf borderId="1" fillId="17" fontId="12" numFmtId="0" xfId="0" applyAlignment="1" applyBorder="1" applyFont="1">
      <alignment horizontal="center" shrinkToFit="0" vertical="center" wrapText="1"/>
    </xf>
    <xf borderId="4" fillId="17" fontId="12" numFmtId="0" xfId="0" applyAlignment="1" applyBorder="1" applyFont="1">
      <alignment horizontal="center" shrinkToFit="0" vertical="center" wrapText="1"/>
    </xf>
    <xf borderId="4" fillId="17" fontId="13" numFmtId="0" xfId="0" applyAlignment="1" applyBorder="1" applyFont="1">
      <alignment horizontal="center" shrinkToFit="0" vertical="center" wrapText="1"/>
    </xf>
    <xf borderId="13" fillId="0" fontId="14" numFmtId="0" xfId="0" applyAlignment="1" applyBorder="1" applyFont="1">
      <alignment horizontal="left" shrinkToFit="0" vertical="bottom" wrapText="1"/>
    </xf>
    <xf borderId="1" fillId="17" fontId="13" numFmtId="0" xfId="0" applyAlignment="1" applyBorder="1" applyFont="1">
      <alignment horizontal="center" shrinkToFit="0" vertical="center" wrapText="1"/>
    </xf>
    <xf borderId="22" fillId="17" fontId="27" numFmtId="0" xfId="0" applyAlignment="1" applyBorder="1" applyFont="1">
      <alignment horizontal="center" shrinkToFit="0" vertical="center" wrapText="1"/>
    </xf>
    <xf borderId="22" fillId="17" fontId="12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shrinkToFit="0" vertical="center" wrapText="1"/>
    </xf>
    <xf borderId="27" fillId="17" fontId="13" numFmtId="0" xfId="0" applyAlignment="1" applyBorder="1" applyFont="1">
      <alignment horizontal="center" shrinkToFit="0" vertical="center" wrapText="1"/>
    </xf>
    <xf borderId="115" fillId="13" fontId="10" numFmtId="0" xfId="0" applyAlignment="1" applyBorder="1" applyFont="1">
      <alignment horizontal="center" vertical="center"/>
    </xf>
    <xf borderId="116" fillId="0" fontId="4" numFmtId="0" xfId="0" applyAlignment="1" applyBorder="1" applyFont="1">
      <alignment horizontal="left" vertical="top"/>
    </xf>
    <xf borderId="117" fillId="18" fontId="12" numFmtId="0" xfId="0" applyAlignment="1" applyBorder="1" applyFill="1" applyFont="1">
      <alignment horizontal="center" shrinkToFit="0" vertical="center" wrapText="1"/>
    </xf>
    <xf borderId="118" fillId="18" fontId="12" numFmtId="0" xfId="0" applyAlignment="1" applyBorder="1" applyFont="1">
      <alignment horizontal="center" shrinkToFit="0" vertical="center" wrapText="1"/>
    </xf>
    <xf borderId="119" fillId="0" fontId="4" numFmtId="0" xfId="0" applyAlignment="1" applyBorder="1" applyFont="1">
      <alignment horizontal="left" vertical="top"/>
    </xf>
    <xf borderId="120" fillId="0" fontId="4" numFmtId="0" xfId="0" applyAlignment="1" applyBorder="1" applyFont="1">
      <alignment horizontal="left" vertical="top"/>
    </xf>
    <xf borderId="121" fillId="0" fontId="4" numFmtId="0" xfId="0" applyAlignment="1" applyBorder="1" applyFont="1">
      <alignment horizontal="left" vertical="top"/>
    </xf>
    <xf borderId="122" fillId="18" fontId="12" numFmtId="0" xfId="0" applyAlignment="1" applyBorder="1" applyFont="1">
      <alignment horizontal="center" shrinkToFit="0" vertical="center" wrapText="1"/>
    </xf>
    <xf borderId="122" fillId="18" fontId="13" numFmtId="0" xfId="0" applyAlignment="1" applyBorder="1" applyFont="1">
      <alignment horizontal="center" shrinkToFit="0" vertical="center" wrapText="1"/>
    </xf>
    <xf borderId="123" fillId="18" fontId="13" numFmtId="0" xfId="0" applyAlignment="1" applyBorder="1" applyFont="1">
      <alignment horizontal="center" shrinkToFit="0" vertical="center" wrapText="1"/>
    </xf>
    <xf borderId="124" fillId="0" fontId="14" numFmtId="0" xfId="0" applyAlignment="1" applyBorder="1" applyFont="1">
      <alignment horizontal="left" shrinkToFit="0" vertical="bottom" wrapText="1"/>
    </xf>
    <xf borderId="125" fillId="0" fontId="4" numFmtId="0" xfId="0" applyAlignment="1" applyBorder="1" applyFont="1">
      <alignment horizontal="left" vertical="top"/>
    </xf>
    <xf borderId="124" fillId="15" fontId="15" numFmtId="1" xfId="0" applyAlignment="1" applyBorder="1" applyFont="1" applyNumberFormat="1">
      <alignment horizontal="left" shrinkToFit="0" vertical="center" wrapText="1"/>
    </xf>
    <xf borderId="126" fillId="0" fontId="4" numFmtId="0" xfId="0" applyAlignment="1" applyBorder="1" applyFont="1">
      <alignment horizontal="left" vertical="top"/>
    </xf>
    <xf borderId="127" fillId="15" fontId="15" numFmtId="1" xfId="0" applyAlignment="1" applyBorder="1" applyFont="1" applyNumberFormat="1">
      <alignment horizontal="left" shrinkToFit="1" vertical="center" wrapText="0"/>
    </xf>
    <xf borderId="128" fillId="0" fontId="4" numFmtId="0" xfId="0" applyAlignment="1" applyBorder="1" applyFont="1">
      <alignment horizontal="left" vertical="top"/>
    </xf>
    <xf borderId="129" fillId="15" fontId="15" numFmtId="1" xfId="0" applyAlignment="1" applyBorder="1" applyFont="1" applyNumberFormat="1">
      <alignment horizontal="center" shrinkToFit="0" vertical="center" wrapText="1"/>
    </xf>
    <xf borderId="117" fillId="15" fontId="15" numFmtId="1" xfId="0" applyAlignment="1" applyBorder="1" applyFont="1" applyNumberFormat="1">
      <alignment horizontal="center" shrinkToFit="1" vertical="center" wrapText="0"/>
    </xf>
    <xf borderId="130" fillId="0" fontId="4" numFmtId="0" xfId="0" applyAlignment="1" applyBorder="1" applyFont="1">
      <alignment horizontal="left" vertical="top"/>
    </xf>
    <xf borderId="131" fillId="0" fontId="4" numFmtId="0" xfId="0" applyAlignment="1" applyBorder="1" applyFont="1">
      <alignment horizontal="left" vertical="top"/>
    </xf>
    <xf borderId="132" fillId="0" fontId="4" numFmtId="0" xfId="0" applyAlignment="1" applyBorder="1" applyFont="1">
      <alignment horizontal="left" vertical="top"/>
    </xf>
    <xf borderId="133" fillId="15" fontId="15" numFmtId="1" xfId="0" applyAlignment="1" applyBorder="1" applyFont="1" applyNumberFormat="1">
      <alignment horizontal="left" shrinkToFit="1" vertical="top" wrapText="0"/>
    </xf>
    <xf borderId="134" fillId="0" fontId="4" numFmtId="0" xfId="0" applyAlignment="1" applyBorder="1" applyFont="1">
      <alignment horizontal="left" vertical="top"/>
    </xf>
    <xf borderId="135" fillId="0" fontId="4" numFmtId="0" xfId="0" applyAlignment="1" applyBorder="1" applyFont="1">
      <alignment horizontal="left" vertical="top"/>
    </xf>
    <xf borderId="117" fillId="0" fontId="16" numFmtId="0" xfId="0" applyAlignment="1" applyBorder="1" applyFont="1">
      <alignment horizontal="center" shrinkToFit="0" vertical="center" wrapText="1"/>
    </xf>
    <xf borderId="117" fillId="0" fontId="16" numFmtId="0" xfId="0" applyAlignment="1" applyBorder="1" applyFont="1">
      <alignment horizontal="left" shrinkToFit="0" vertical="center" wrapText="1"/>
    </xf>
    <xf borderId="117" fillId="0" fontId="17" numFmtId="1" xfId="0" applyAlignment="1" applyBorder="1" applyFont="1" applyNumberFormat="1">
      <alignment horizontal="center" shrinkToFit="1" vertical="center" wrapText="0"/>
    </xf>
    <xf borderId="117" fillId="0" fontId="8" numFmtId="1" xfId="0" applyAlignment="1" applyBorder="1" applyFont="1" applyNumberFormat="1">
      <alignment horizontal="center" shrinkToFit="1" vertical="center" wrapText="0"/>
    </xf>
    <xf borderId="136" fillId="0" fontId="8" numFmtId="1" xfId="0" applyAlignment="1" applyBorder="1" applyFont="1" applyNumberFormat="1">
      <alignment horizontal="center" shrinkToFit="1" vertical="center" wrapText="0"/>
    </xf>
    <xf borderId="137" fillId="18" fontId="12" numFmtId="0" xfId="0" applyAlignment="1" applyBorder="1" applyFont="1">
      <alignment horizontal="center" shrinkToFit="0" vertical="center" wrapText="1"/>
    </xf>
    <xf borderId="138" fillId="0" fontId="4" numFmtId="0" xfId="0" applyAlignment="1" applyBorder="1" applyFont="1">
      <alignment horizontal="left" vertical="top"/>
    </xf>
    <xf borderId="5" fillId="18" fontId="12" numFmtId="0" xfId="0" applyAlignment="1" applyBorder="1" applyFont="1">
      <alignment horizontal="center" shrinkToFit="0" vertical="center" wrapText="1"/>
    </xf>
    <xf borderId="139" fillId="0" fontId="4" numFmtId="0" xfId="0" applyAlignment="1" applyBorder="1" applyFont="1">
      <alignment horizontal="left" vertical="top"/>
    </xf>
    <xf borderId="140" fillId="0" fontId="18" numFmtId="0" xfId="0" applyAlignment="1" applyBorder="1" applyFont="1">
      <alignment horizontal="left" shrinkToFit="0" vertical="center" wrapText="1"/>
    </xf>
    <xf borderId="108" fillId="0" fontId="8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horizontal="left" vertical="center"/>
    </xf>
    <xf borderId="69" fillId="0" fontId="23" numFmtId="0" xfId="0" applyAlignment="1" applyBorder="1" applyFont="1">
      <alignment horizontal="left" vertical="center"/>
    </xf>
    <xf borderId="73" fillId="0" fontId="18" numFmtId="0" xfId="0" applyAlignment="1" applyBorder="1" applyFont="1">
      <alignment horizontal="left" shrinkToFit="0" vertical="center" wrapText="1"/>
    </xf>
    <xf borderId="48" fillId="0" fontId="18" numFmtId="0" xfId="0" applyAlignment="1" applyBorder="1" applyFont="1">
      <alignment horizontal="left" shrinkToFit="0" vertical="center" wrapText="1"/>
    </xf>
    <xf borderId="141" fillId="18" fontId="13" numFmtId="0" xfId="0" applyAlignment="1" applyBorder="1" applyFont="1">
      <alignment horizontal="center" shrinkToFit="0" vertical="center" wrapText="1"/>
    </xf>
    <xf borderId="115" fillId="18" fontId="13" numFmtId="0" xfId="0" applyAlignment="1" applyBorder="1" applyFont="1">
      <alignment horizontal="center" shrinkToFit="0" vertical="center" wrapText="1"/>
    </xf>
    <xf borderId="142" fillId="0" fontId="4" numFmtId="0" xfId="0" applyAlignment="1" applyBorder="1" applyFont="1">
      <alignment horizontal="left" vertical="top"/>
    </xf>
    <xf borderId="143" fillId="0" fontId="8" numFmtId="0" xfId="0" applyAlignment="1" applyBorder="1" applyFont="1">
      <alignment horizontal="left" vertical="center"/>
    </xf>
    <xf borderId="144" fillId="0" fontId="8" numFmtId="0" xfId="0" applyAlignment="1" applyBorder="1" applyFont="1">
      <alignment horizontal="left" shrinkToFit="0" vertical="center" wrapText="1"/>
    </xf>
    <xf borderId="143" fillId="0" fontId="8" numFmtId="0" xfId="0" applyAlignment="1" applyBorder="1" applyFont="1">
      <alignment horizontal="left" shrinkToFit="0" vertical="center" wrapText="1"/>
    </xf>
    <xf borderId="145" fillId="0" fontId="8" numFmtId="0" xfId="0" applyAlignment="1" applyBorder="1" applyFont="1">
      <alignment horizontal="left" shrinkToFit="0" vertical="center" wrapText="1"/>
    </xf>
    <xf borderId="146" fillId="18" fontId="12" numFmtId="0" xfId="0" applyAlignment="1" applyBorder="1" applyFont="1">
      <alignment horizontal="center" shrinkToFit="0" vertical="center" wrapText="1"/>
    </xf>
    <xf borderId="147" fillId="0" fontId="4" numFmtId="0" xfId="0" applyAlignment="1" applyBorder="1" applyFont="1">
      <alignment horizontal="left" vertical="top"/>
    </xf>
    <xf borderId="148" fillId="18" fontId="12" numFmtId="0" xfId="0" applyAlignment="1" applyBorder="1" applyFont="1">
      <alignment horizontal="center" vertical="center"/>
    </xf>
    <xf borderId="149" fillId="0" fontId="4" numFmtId="0" xfId="0" applyAlignment="1" applyBorder="1" applyFont="1">
      <alignment horizontal="left" vertical="top"/>
    </xf>
    <xf borderId="124" fillId="0" fontId="20" numFmtId="0" xfId="0" applyAlignment="1" applyBorder="1" applyFont="1">
      <alignment horizontal="center" shrinkToFit="0" vertical="center" wrapText="1"/>
    </xf>
    <xf borderId="126" fillId="0" fontId="18" numFmtId="0" xfId="0" applyAlignment="1" applyBorder="1" applyFont="1">
      <alignment horizontal="left" shrinkToFit="0" vertical="center" wrapText="1"/>
    </xf>
    <xf borderId="143" fillId="0" fontId="8" numFmtId="0" xfId="0" applyAlignment="1" applyBorder="1" applyFont="1">
      <alignment horizontal="left" vertical="bottom"/>
    </xf>
    <xf borderId="144" fillId="0" fontId="8" numFmtId="0" xfId="0" applyAlignment="1" applyBorder="1" applyFont="1">
      <alignment horizontal="center" vertical="center"/>
    </xf>
    <xf borderId="120" fillId="0" fontId="18" numFmtId="9" xfId="0" applyAlignment="1" applyBorder="1" applyFont="1" applyNumberFormat="1">
      <alignment horizontal="center" vertical="center"/>
    </xf>
    <xf borderId="119" fillId="0" fontId="18" numFmtId="0" xfId="0" applyAlignment="1" applyBorder="1" applyFont="1">
      <alignment horizontal="left" vertical="center"/>
    </xf>
    <xf borderId="119" fillId="0" fontId="18" numFmtId="0" xfId="0" applyAlignment="1" applyBorder="1" applyFont="1">
      <alignment horizontal="center" vertical="center"/>
    </xf>
    <xf borderId="120" fillId="0" fontId="18" numFmtId="0" xfId="0" applyAlignment="1" applyBorder="1" applyFont="1">
      <alignment horizontal="center" vertical="center"/>
    </xf>
    <xf borderId="143" fillId="0" fontId="8" numFmtId="0" xfId="0" applyAlignment="1" applyBorder="1" applyFont="1">
      <alignment horizontal="left" readingOrder="1" vertical="center"/>
    </xf>
    <xf borderId="144" fillId="0" fontId="8" numFmtId="0" xfId="0" applyAlignment="1" applyBorder="1" applyFont="1">
      <alignment horizontal="left" vertical="center"/>
    </xf>
    <xf borderId="131" fillId="0" fontId="18" numFmtId="9" xfId="0" applyAlignment="1" applyBorder="1" applyFont="1" applyNumberFormat="1">
      <alignment horizontal="center" vertical="center"/>
    </xf>
    <xf borderId="132" fillId="0" fontId="18" numFmtId="0" xfId="0" applyAlignment="1" applyBorder="1" applyFont="1">
      <alignment horizontal="left" vertical="center"/>
    </xf>
    <xf borderId="132" fillId="0" fontId="18" numFmtId="0" xfId="0" applyAlignment="1" applyBorder="1" applyFont="1">
      <alignment horizontal="center" vertical="center"/>
    </xf>
    <xf borderId="131" fillId="0" fontId="18" numFmtId="0" xfId="0" applyAlignment="1" applyBorder="1" applyFont="1">
      <alignment horizontal="center" vertical="center"/>
    </xf>
    <xf borderId="143" fillId="0" fontId="22" numFmtId="0" xfId="0" applyAlignment="1" applyBorder="1" applyFont="1">
      <alignment horizontal="left" readingOrder="1" vertical="center"/>
    </xf>
    <xf borderId="0" fillId="0" fontId="18" numFmtId="9" xfId="0" applyAlignment="1" applyFont="1" applyNumberFormat="1">
      <alignment horizontal="center" vertical="center"/>
    </xf>
    <xf borderId="144" fillId="0" fontId="18" numFmtId="0" xfId="0" applyAlignment="1" applyBorder="1" applyFont="1">
      <alignment horizontal="center" vertical="center"/>
    </xf>
    <xf borderId="143" fillId="0" fontId="13" numFmtId="0" xfId="0" applyAlignment="1" applyBorder="1" applyFont="1">
      <alignment horizontal="left" readingOrder="1" vertical="center"/>
    </xf>
    <xf borderId="150" fillId="0" fontId="4" numFmtId="0" xfId="0" applyAlignment="1" applyBorder="1" applyFont="1">
      <alignment horizontal="left" vertical="top"/>
    </xf>
    <xf borderId="151" fillId="0" fontId="18" numFmtId="0" xfId="0" applyAlignment="1" applyBorder="1" applyFont="1">
      <alignment horizontal="left" vertical="center"/>
    </xf>
    <xf borderId="152" fillId="0" fontId="18" numFmtId="0" xfId="0" applyAlignment="1" applyBorder="1" applyFont="1">
      <alignment horizontal="left" vertical="center"/>
    </xf>
    <xf borderId="153" fillId="0" fontId="18" numFmtId="0" xfId="0" applyAlignment="1" applyBorder="1" applyFont="1">
      <alignment horizontal="left" vertical="center"/>
    </xf>
    <xf borderId="154" fillId="0" fontId="18" numFmtId="0" xfId="0" applyAlignment="1" applyBorder="1" applyFont="1">
      <alignment horizontal="left" vertical="center"/>
    </xf>
    <xf borderId="153" fillId="0" fontId="18" numFmtId="0" xfId="0" applyAlignment="1" applyBorder="1" applyFont="1">
      <alignment horizontal="left" shrinkToFit="0" vertical="center" wrapText="1"/>
    </xf>
    <xf borderId="154" fillId="0" fontId="4" numFmtId="0" xfId="0" applyAlignment="1" applyBorder="1" applyFont="1">
      <alignment horizontal="left" vertical="top"/>
    </xf>
    <xf borderId="153" fillId="0" fontId="23" numFmtId="0" xfId="0" applyAlignment="1" applyBorder="1" applyFont="1">
      <alignment horizontal="left" shrinkToFit="0" vertical="center" wrapText="1"/>
    </xf>
    <xf borderId="153" fillId="0" fontId="12" numFmtId="0" xfId="0" applyAlignment="1" applyBorder="1" applyFont="1">
      <alignment horizontal="left" vertical="center"/>
    </xf>
    <xf borderId="155" fillId="0" fontId="18" numFmtId="0" xfId="0" applyAlignment="1" applyBorder="1" applyFont="1">
      <alignment horizontal="left" shrinkToFit="0" vertical="center" wrapText="1"/>
    </xf>
    <xf borderId="156" fillId="0" fontId="4" numFmtId="0" xfId="0" applyAlignment="1" applyBorder="1" applyFont="1">
      <alignment horizontal="left" vertical="top"/>
    </xf>
    <xf borderId="157" fillId="0" fontId="4" numFmtId="0" xfId="0" applyAlignment="1" applyBorder="1" applyFont="1">
      <alignment horizontal="left" vertical="top"/>
    </xf>
    <xf borderId="0" fillId="0" fontId="9" numFmtId="0" xfId="0" applyAlignment="1" applyFont="1">
      <alignment horizontal="left" vertical="center"/>
    </xf>
    <xf borderId="9" fillId="2" fontId="12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13" fillId="0" fontId="14" numFmtId="0" xfId="0" applyAlignment="1" applyBorder="1" applyFont="1">
      <alignment horizontal="left" vertical="bottom"/>
    </xf>
    <xf borderId="23" fillId="0" fontId="13" numFmtId="0" xfId="0" applyAlignment="1" applyBorder="1" applyFont="1">
      <alignment horizontal="left" vertical="center"/>
    </xf>
    <xf borderId="1" fillId="2" fontId="13" numFmtId="0" xfId="0" applyAlignment="1" applyBorder="1" applyFont="1">
      <alignment horizontal="center" shrinkToFit="0" vertical="center" wrapText="1"/>
    </xf>
    <xf borderId="22" fillId="2" fontId="18" numFmtId="0" xfId="0" applyAlignment="1" applyBorder="1" applyFont="1">
      <alignment horizontal="center" shrinkToFit="0" vertical="center" wrapText="1"/>
    </xf>
    <xf borderId="22" fillId="2" fontId="12" numFmtId="0" xfId="0" applyAlignment="1" applyBorder="1" applyFont="1">
      <alignment horizontal="center" vertical="center"/>
    </xf>
    <xf borderId="27" fillId="2" fontId="13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vertical="top"/>
    </xf>
    <xf borderId="9" fillId="19" fontId="12" numFmtId="0" xfId="0" applyAlignment="1" applyBorder="1" applyFill="1" applyFont="1">
      <alignment horizontal="center" shrinkToFit="0" vertical="center" wrapText="1"/>
    </xf>
    <xf borderId="1" fillId="19" fontId="12" numFmtId="0" xfId="0" applyAlignment="1" applyBorder="1" applyFont="1">
      <alignment horizontal="center" shrinkToFit="0" vertical="center" wrapText="1"/>
    </xf>
    <xf borderId="4" fillId="19" fontId="12" numFmtId="0" xfId="0" applyAlignment="1" applyBorder="1" applyFont="1">
      <alignment horizontal="center" shrinkToFit="0" vertical="center" wrapText="1"/>
    </xf>
    <xf borderId="14" fillId="0" fontId="24" numFmtId="0" xfId="0" applyAlignment="1" applyBorder="1" applyFont="1">
      <alignment horizontal="left" shrinkToFit="0" vertical="center" wrapText="1"/>
    </xf>
    <xf borderId="13" fillId="0" fontId="16" numFmtId="0" xfId="0" applyAlignment="1" applyBorder="1" applyFont="1">
      <alignment horizontal="left" vertical="center"/>
    </xf>
    <xf borderId="15" fillId="0" fontId="28" numFmtId="0" xfId="0" applyAlignment="1" applyBorder="1" applyFont="1">
      <alignment horizontal="left" vertical="center"/>
    </xf>
    <xf borderId="0" fillId="0" fontId="8" numFmtId="9" xfId="0" applyAlignment="1" applyFont="1" applyNumberFormat="1">
      <alignment horizontal="center" shrinkToFit="0" vertical="bottom" wrapText="1"/>
    </xf>
    <xf borderId="0" fillId="0" fontId="8" numFmtId="9" xfId="0" applyAlignment="1" applyFont="1" applyNumberFormat="1">
      <alignment horizontal="left" vertical="bottom"/>
    </xf>
    <xf borderId="158" fillId="10" fontId="16" numFmtId="0" xfId="0" applyAlignment="1" applyBorder="1" applyFont="1">
      <alignment horizontal="left" vertical="center"/>
    </xf>
    <xf borderId="24" fillId="0" fontId="16" numFmtId="0" xfId="0" applyAlignment="1" applyBorder="1" applyFont="1">
      <alignment horizontal="left" vertical="center"/>
    </xf>
    <xf borderId="20" fillId="0" fontId="18" numFmtId="0" xfId="0" applyAlignment="1" applyBorder="1" applyFont="1">
      <alignment horizontal="center" vertical="center"/>
    </xf>
    <xf borderId="159" fillId="10" fontId="16" numFmtId="0" xfId="0" applyAlignment="1" applyBorder="1" applyFont="1">
      <alignment horizontal="left" shrinkToFit="0" vertical="top" wrapText="1"/>
    </xf>
    <xf borderId="160" fillId="0" fontId="4" numFmtId="0" xfId="0" applyAlignment="1" applyBorder="1" applyFont="1">
      <alignment horizontal="left" vertical="top"/>
    </xf>
    <xf borderId="161" fillId="10" fontId="16" numFmtId="0" xfId="0" applyAlignment="1" applyBorder="1" applyFont="1">
      <alignment horizontal="left" shrinkToFit="0" vertical="top" wrapText="1"/>
    </xf>
    <xf borderId="19" fillId="0" fontId="16" numFmtId="0" xfId="0" applyAlignment="1" applyBorder="1" applyFont="1">
      <alignment horizontal="left" vertical="center"/>
    </xf>
    <xf borderId="4" fillId="0" fontId="18" numFmtId="0" xfId="0" applyAlignment="1" applyBorder="1" applyFont="1">
      <alignment horizontal="center" vertical="center"/>
    </xf>
    <xf borderId="161" fillId="20" fontId="28" numFmtId="0" xfId="0" applyAlignment="1" applyBorder="1" applyFill="1" applyFont="1">
      <alignment horizontal="left" vertical="center"/>
    </xf>
    <xf borderId="162" fillId="20" fontId="18" numFmtId="0" xfId="0" applyAlignment="1" applyBorder="1" applyFont="1">
      <alignment horizontal="left" vertical="top"/>
    </xf>
    <xf borderId="163" fillId="20" fontId="18" numFmtId="0" xfId="0" applyAlignment="1" applyBorder="1" applyFont="1">
      <alignment horizontal="left" vertical="top"/>
    </xf>
    <xf borderId="13" fillId="0" fontId="23" numFmtId="0" xfId="0" applyAlignment="1" applyBorder="1" applyFont="1">
      <alignment horizontal="center" vertical="center"/>
    </xf>
    <xf borderId="158" fillId="4" fontId="16" numFmtId="0" xfId="0" applyAlignment="1" applyBorder="1" applyFont="1">
      <alignment horizontal="left" vertical="center"/>
    </xf>
    <xf borderId="164" fillId="4" fontId="16" numFmtId="0" xfId="0" applyAlignment="1" applyBorder="1" applyFont="1">
      <alignment horizontal="left" shrinkToFit="0" vertical="center" wrapText="1"/>
    </xf>
    <xf borderId="165" fillId="21" fontId="28" numFmtId="0" xfId="0" applyAlignment="1" applyBorder="1" applyFill="1" applyFont="1">
      <alignment horizontal="left" vertical="center"/>
    </xf>
    <xf borderId="166" fillId="21" fontId="18" numFmtId="0" xfId="0" applyAlignment="1" applyBorder="1" applyFont="1">
      <alignment horizontal="left" vertical="top"/>
    </xf>
    <xf borderId="167" fillId="21" fontId="18" numFmtId="0" xfId="0" applyAlignment="1" applyBorder="1" applyFont="1">
      <alignment horizontal="left" vertical="top"/>
    </xf>
    <xf borderId="168" fillId="4" fontId="16" numFmtId="0" xfId="0" applyAlignment="1" applyBorder="1" applyFont="1">
      <alignment horizontal="left" shrinkToFit="0" vertical="top" wrapText="1"/>
    </xf>
    <xf borderId="169" fillId="0" fontId="4" numFmtId="0" xfId="0" applyAlignment="1" applyBorder="1" applyFont="1">
      <alignment horizontal="left" vertical="top"/>
    </xf>
    <xf borderId="170" fillId="0" fontId="4" numFmtId="0" xfId="0" applyAlignment="1" applyBorder="1" applyFont="1">
      <alignment horizontal="left" vertical="top"/>
    </xf>
    <xf borderId="171" fillId="0" fontId="4" numFmtId="0" xfId="0" applyAlignment="1" applyBorder="1" applyFont="1">
      <alignment horizontal="left" vertical="top"/>
    </xf>
    <xf borderId="127" fillId="22" fontId="29" numFmtId="0" xfId="0" applyAlignment="1" applyBorder="1" applyFill="1" applyFont="1">
      <alignment horizontal="center" vertical="center"/>
    </xf>
    <xf borderId="172" fillId="0" fontId="4" numFmtId="0" xfId="0" applyAlignment="1" applyBorder="1" applyFont="1">
      <alignment horizontal="left" vertical="top"/>
    </xf>
    <xf borderId="0" fillId="0" fontId="29" numFmtId="0" xfId="0" applyAlignment="1" applyFont="1">
      <alignment horizontal="center" vertical="center"/>
    </xf>
    <xf borderId="22" fillId="19" fontId="12" numFmtId="0" xfId="0" applyAlignment="1" applyBorder="1" applyFont="1">
      <alignment horizontal="center" shrinkToFit="0" vertical="center" wrapText="1"/>
    </xf>
    <xf borderId="23" fillId="0" fontId="30" numFmtId="0" xfId="0" applyAlignment="1" applyBorder="1" applyFont="1">
      <alignment horizontal="left" vertical="center"/>
    </xf>
    <xf borderId="164" fillId="4" fontId="19" numFmtId="0" xfId="0" applyAlignment="1" applyBorder="1" applyFont="1">
      <alignment horizontal="left" vertical="center"/>
    </xf>
    <xf borderId="23" fillId="0" fontId="31" numFmtId="0" xfId="0" applyAlignment="1" applyBorder="1" applyFont="1">
      <alignment horizontal="left" vertical="center"/>
    </xf>
    <xf borderId="164" fillId="23" fontId="32" numFmtId="0" xfId="0" applyAlignment="1" applyBorder="1" applyFill="1" applyFont="1">
      <alignment horizontal="left" vertical="center"/>
    </xf>
    <xf borderId="25" fillId="23" fontId="33" numFmtId="0" xfId="0" applyAlignment="1" applyBorder="1" applyFont="1">
      <alignment horizontal="left" vertical="center"/>
    </xf>
    <xf borderId="26" fillId="23" fontId="33" numFmtId="0" xfId="0" applyAlignment="1" applyBorder="1" applyFont="1">
      <alignment horizontal="left" vertical="center"/>
    </xf>
    <xf borderId="20" fillId="0" fontId="18" numFmtId="0" xfId="0" applyAlignment="1" applyBorder="1" applyFont="1">
      <alignment horizontal="left" vertical="center"/>
    </xf>
    <xf borderId="27" fillId="19" fontId="12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14" fillId="0" fontId="34" numFmtId="0" xfId="0" applyAlignment="1" applyBorder="1" applyFont="1">
      <alignment horizontal="left" shrinkToFit="0" vertical="center" wrapText="1"/>
    </xf>
    <xf borderId="14" fillId="0" fontId="12" numFmtId="0" xfId="0" applyAlignment="1" applyBorder="1" applyFont="1">
      <alignment horizontal="left" vertical="center"/>
    </xf>
    <xf borderId="15" fillId="0" fontId="12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horizontal="center" vertical="center"/>
    </xf>
    <xf borderId="24" fillId="0" fontId="18" numFmtId="0" xfId="0" applyAlignment="1" applyBorder="1" applyFont="1">
      <alignment horizontal="left" shrinkToFit="0" vertical="center" wrapText="1"/>
    </xf>
    <xf borderId="23" fillId="0" fontId="8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23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34" numFmtId="0" xfId="0" applyAlignment="1" applyFont="1">
      <alignment horizontal="left" shrinkToFit="0" vertical="center" wrapText="1"/>
    </xf>
    <xf borderId="173" fillId="19" fontId="12" numFmtId="0" xfId="0" applyAlignment="1" applyBorder="1" applyFont="1">
      <alignment horizontal="center" shrinkToFit="0" vertical="center" wrapText="1"/>
    </xf>
    <xf borderId="173" fillId="19" fontId="13" numFmtId="0" xfId="0" applyAlignment="1" applyBorder="1" applyFont="1">
      <alignment horizontal="center" shrinkToFit="0" vertical="center" wrapText="1"/>
    </xf>
    <xf borderId="174" fillId="0" fontId="4" numFmtId="0" xfId="0" applyAlignment="1" applyBorder="1" applyFont="1">
      <alignment horizontal="left" vertical="top"/>
    </xf>
    <xf borderId="13" fillId="0" fontId="8" numFmtId="0" xfId="0" applyAlignment="1" applyBorder="1" applyFont="1">
      <alignment horizontal="left" vertical="bottom"/>
    </xf>
    <xf borderId="14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24" fillId="0" fontId="17" numFmtId="0" xfId="0" applyAlignment="1" applyBorder="1" applyFont="1">
      <alignment horizontal="left" vertical="center"/>
    </xf>
    <xf borderId="0" fillId="0" fontId="35" numFmtId="0" xfId="0" applyAlignment="1" applyFont="1">
      <alignment horizontal="left" vertical="top"/>
    </xf>
    <xf borderId="0" fillId="0" fontId="36" numFmtId="0" xfId="0" applyAlignment="1" applyFont="1">
      <alignment horizontal="left" vertical="center"/>
    </xf>
    <xf borderId="175" fillId="0" fontId="4" numFmtId="0" xfId="0" applyAlignment="1" applyBorder="1" applyFont="1">
      <alignment horizontal="left" vertical="top"/>
    </xf>
    <xf borderId="159" fillId="10" fontId="16" numFmtId="0" xfId="0" applyAlignment="1" applyBorder="1" applyFont="1">
      <alignment horizontal="left" shrinkToFit="0" vertical="center" wrapText="1"/>
    </xf>
    <xf borderId="164" fillId="10" fontId="16" numFmtId="0" xfId="0" applyAlignment="1" applyBorder="1" applyFont="1">
      <alignment horizontal="left" shrinkToFit="0" vertical="center" wrapText="1"/>
    </xf>
    <xf borderId="164" fillId="10" fontId="28" numFmtId="0" xfId="0" applyAlignment="1" applyBorder="1" applyFont="1">
      <alignment horizontal="left" vertical="center"/>
    </xf>
    <xf borderId="24" fillId="0" fontId="28" numFmtId="0" xfId="0" applyAlignment="1" applyBorder="1" applyFont="1">
      <alignment horizontal="left" vertical="center"/>
    </xf>
    <xf borderId="161" fillId="10" fontId="28" numFmtId="0" xfId="0" applyAlignment="1" applyBorder="1" applyFont="1">
      <alignment horizontal="left" vertical="center"/>
    </xf>
    <xf borderId="20" fillId="0" fontId="28" numFmtId="0" xfId="0" applyAlignment="1" applyBorder="1" applyFont="1">
      <alignment horizontal="left" vertical="center"/>
    </xf>
    <xf borderId="164" fillId="20" fontId="28" numFmtId="0" xfId="0" applyAlignment="1" applyBorder="1" applyFont="1">
      <alignment horizontal="left" vertical="center"/>
    </xf>
    <xf borderId="25" fillId="20" fontId="35" numFmtId="0" xfId="0" applyAlignment="1" applyBorder="1" applyFont="1">
      <alignment horizontal="left" vertical="top"/>
    </xf>
    <xf borderId="176" fillId="20" fontId="35" numFmtId="0" xfId="0" applyAlignment="1" applyBorder="1" applyFont="1">
      <alignment horizontal="left" vertical="top"/>
    </xf>
    <xf borderId="177" fillId="20" fontId="35" numFmtId="0" xfId="0" applyAlignment="1" applyBorder="1" applyFont="1">
      <alignment horizontal="left" vertical="top"/>
    </xf>
    <xf borderId="14" fillId="0" fontId="28" numFmtId="0" xfId="0" applyAlignment="1" applyBorder="1" applyFont="1">
      <alignment horizontal="left" vertical="center"/>
    </xf>
    <xf borderId="168" fillId="4" fontId="16" numFmtId="0" xfId="0" applyAlignment="1" applyBorder="1" applyFont="1">
      <alignment horizontal="left" shrinkToFit="0" vertical="center" wrapText="1"/>
    </xf>
    <xf borderId="178" fillId="21" fontId="28" numFmtId="0" xfId="0" applyAlignment="1" applyBorder="1" applyFont="1">
      <alignment horizontal="left" shrinkToFit="0" vertical="center" wrapText="1"/>
    </xf>
    <xf borderId="176" fillId="21" fontId="35" numFmtId="0" xfId="0" applyAlignment="1" applyBorder="1" applyFont="1">
      <alignment horizontal="left" shrinkToFit="0" vertical="top" wrapText="1"/>
    </xf>
    <xf borderId="177" fillId="21" fontId="35" numFmtId="0" xfId="0" applyAlignment="1" applyBorder="1" applyFont="1">
      <alignment horizontal="left" shrinkToFit="0" vertical="top" wrapText="1"/>
    </xf>
    <xf borderId="162" fillId="20" fontId="35" numFmtId="0" xfId="0" applyAlignment="1" applyBorder="1" applyFont="1">
      <alignment horizontal="left" vertical="top"/>
    </xf>
    <xf borderId="166" fillId="20" fontId="35" numFmtId="0" xfId="0" applyAlignment="1" applyBorder="1" applyFont="1">
      <alignment horizontal="left" vertical="top"/>
    </xf>
    <xf borderId="167" fillId="20" fontId="35" numFmtId="0" xfId="0" applyAlignment="1" applyBorder="1" applyFont="1">
      <alignment horizontal="left" vertical="top"/>
    </xf>
    <xf borderId="179" fillId="22" fontId="29" numFmtId="0" xfId="0" applyAlignment="1" applyBorder="1" applyFont="1">
      <alignment horizontal="center" vertical="center"/>
    </xf>
    <xf borderId="180" fillId="0" fontId="4" numFmtId="0" xfId="0" applyAlignment="1" applyBorder="1" applyFont="1">
      <alignment horizontal="left" vertical="top"/>
    </xf>
    <xf borderId="181" fillId="0" fontId="4" numFmtId="0" xfId="0" applyAlignment="1" applyBorder="1" applyFont="1">
      <alignment horizontal="left" vertical="top"/>
    </xf>
    <xf borderId="0" fillId="0" fontId="37" numFmtId="0" xfId="0" applyAlignment="1" applyFont="1">
      <alignment horizontal="center" vertical="center"/>
    </xf>
    <xf borderId="26" fillId="23" fontId="18" numFmtId="0" xfId="0" applyAlignment="1" applyBorder="1" applyFont="1">
      <alignment horizontal="left" vertical="center"/>
    </xf>
    <xf borderId="13" fillId="0" fontId="8" numFmtId="0" xfId="0" applyAlignment="1" applyBorder="1" applyFont="1">
      <alignment horizontal="center" vertical="center"/>
    </xf>
    <xf borderId="14" fillId="0" fontId="18" numFmtId="0" xfId="0" applyAlignment="1" applyBorder="1" applyFont="1">
      <alignment horizontal="left" shrinkToFit="0" vertical="center" wrapText="1"/>
    </xf>
    <xf borderId="15" fillId="0" fontId="18" numFmtId="0" xfId="0" applyAlignment="1" applyBorder="1" applyFont="1">
      <alignment horizontal="left" shrinkToFit="0" vertical="center" wrapText="1"/>
    </xf>
    <xf borderId="1" fillId="19" fontId="13" numFmtId="0" xfId="0" applyAlignment="1" applyBorder="1" applyFont="1">
      <alignment horizontal="center" shrinkToFit="0" vertical="center" wrapText="1"/>
    </xf>
    <xf borderId="0" fillId="0" fontId="8" numFmtId="9" xfId="0" applyAlignment="1" applyFont="1" applyNumberFormat="1">
      <alignment horizontal="left" shrinkToFit="0" vertical="bottom" wrapText="1"/>
    </xf>
    <xf borderId="0" fillId="0" fontId="8" numFmtId="9" xfId="0" applyAlignment="1" applyFont="1" applyNumberFormat="1">
      <alignment horizontal="left" shrinkToFit="0" vertical="center" wrapText="1"/>
    </xf>
    <xf borderId="182" fillId="0" fontId="4" numFmtId="0" xfId="0" applyAlignment="1" applyBorder="1" applyFont="1">
      <alignment horizontal="left" vertical="top"/>
    </xf>
    <xf borderId="0" fillId="0" fontId="16" numFmtId="0" xfId="0" applyAlignment="1" applyFont="1">
      <alignment horizontal="left" vertical="center"/>
    </xf>
    <xf borderId="2" fillId="0" fontId="17" numFmtId="1" xfId="0" applyAlignment="1" applyBorder="1" applyFont="1" applyNumberFormat="1">
      <alignment horizontal="center" shrinkToFit="1" vertical="center" wrapText="0"/>
    </xf>
    <xf borderId="3" fillId="0" fontId="8" numFmtId="1" xfId="0" applyAlignment="1" applyBorder="1" applyFont="1" applyNumberFormat="1">
      <alignment horizontal="center" shrinkToFit="1" vertical="center" wrapText="0"/>
    </xf>
    <xf borderId="165" fillId="20" fontId="28" numFmtId="0" xfId="0" applyAlignment="1" applyBorder="1" applyFont="1">
      <alignment horizontal="left" vertical="center"/>
    </xf>
    <xf borderId="166" fillId="20" fontId="18" numFmtId="0" xfId="0" applyAlignment="1" applyBorder="1" applyFont="1">
      <alignment horizontal="left" vertical="top"/>
    </xf>
    <xf borderId="167" fillId="20" fontId="18" numFmtId="0" xfId="0" applyAlignment="1" applyBorder="1" applyFont="1">
      <alignment horizontal="left" vertical="top"/>
    </xf>
    <xf borderId="158" fillId="6" fontId="16" numFmtId="0" xfId="0" applyAlignment="1" applyBorder="1" applyFont="1">
      <alignment horizontal="left" vertical="center"/>
    </xf>
    <xf borderId="159" fillId="6" fontId="16" numFmtId="0" xfId="0" applyAlignment="1" applyBorder="1" applyFont="1">
      <alignment horizontal="left" shrinkToFit="0" vertical="top" wrapText="1"/>
    </xf>
    <xf borderId="13" fillId="4" fontId="16" numFmtId="0" xfId="0" applyAlignment="1" applyBorder="1" applyFont="1">
      <alignment horizontal="left" vertical="center"/>
    </xf>
    <xf borderId="15" fillId="4" fontId="28" numFmtId="0" xfId="0" applyAlignment="1" applyBorder="1" applyFont="1">
      <alignment horizontal="left" vertical="center"/>
    </xf>
    <xf borderId="20" fillId="4" fontId="18" numFmtId="0" xfId="0" applyAlignment="1" applyBorder="1" applyFont="1">
      <alignment horizontal="center" vertical="center"/>
    </xf>
    <xf borderId="4" fillId="4" fontId="17" numFmtId="1" xfId="0" applyAlignment="1" applyBorder="1" applyFont="1" applyNumberFormat="1">
      <alignment horizontal="center" shrinkToFit="1" vertical="center" wrapText="0"/>
    </xf>
    <xf borderId="4" fillId="4" fontId="8" numFmtId="1" xfId="0" applyAlignment="1" applyBorder="1" applyFont="1" applyNumberFormat="1">
      <alignment horizontal="center" shrinkToFit="1" vertical="center" wrapText="0"/>
    </xf>
    <xf borderId="159" fillId="4" fontId="16" numFmtId="0" xfId="0" applyAlignment="1" applyBorder="1" applyFont="1">
      <alignment horizontal="left" shrinkToFit="0" vertical="top" wrapText="1"/>
    </xf>
    <xf borderId="183" fillId="4" fontId="16" numFmtId="0" xfId="0" applyAlignment="1" applyBorder="1" applyFont="1">
      <alignment horizontal="left" shrinkToFit="0" vertical="top" wrapText="1"/>
    </xf>
    <xf borderId="184" fillId="0" fontId="4" numFmtId="0" xfId="0" applyAlignment="1" applyBorder="1" applyFont="1">
      <alignment horizontal="left" vertical="top"/>
    </xf>
    <xf borderId="185" fillId="0" fontId="4" numFmtId="0" xfId="0" applyAlignment="1" applyBorder="1" applyFont="1">
      <alignment horizontal="left" vertical="top"/>
    </xf>
    <xf borderId="0" fillId="0" fontId="17" numFmtId="1" xfId="0" applyAlignment="1" applyFont="1" applyNumberFormat="1">
      <alignment horizontal="center" shrinkToFit="1" vertical="center" wrapText="0"/>
    </xf>
    <xf borderId="0" fillId="0" fontId="38" numFmtId="0" xfId="0" applyAlignment="1" applyFont="1">
      <alignment horizontal="left" vertical="center"/>
    </xf>
    <xf borderId="23" fillId="0" fontId="16" numFmtId="0" xfId="0" applyAlignment="1" applyBorder="1" applyFont="1">
      <alignment horizontal="left" vertical="center"/>
    </xf>
    <xf borderId="0" fillId="0" fontId="24" numFmtId="0" xfId="0" applyAlignment="1" applyFont="1">
      <alignment horizontal="left" shrinkToFit="0" vertical="center" wrapText="1"/>
    </xf>
    <xf borderId="0" fillId="0" fontId="28" numFmtId="0" xfId="0" applyAlignment="1" applyFont="1">
      <alignment horizontal="left" vertical="center"/>
    </xf>
    <xf borderId="158" fillId="14" fontId="16" numFmtId="0" xfId="0" applyAlignment="1" applyBorder="1" applyFont="1">
      <alignment horizontal="left" vertical="center"/>
    </xf>
    <xf borderId="159" fillId="14" fontId="16" numFmtId="0" xfId="0" applyAlignment="1" applyBorder="1" applyFont="1">
      <alignment horizontal="left" shrinkToFit="0" vertical="top" wrapText="1"/>
    </xf>
    <xf borderId="19" fillId="0" fontId="28" numFmtId="0" xfId="0" applyAlignment="1" applyBorder="1" applyFont="1">
      <alignment horizontal="left" vertical="center"/>
    </xf>
    <xf borderId="0" fillId="0" fontId="28" numFmtId="0" xfId="0" applyAlignment="1" applyFont="1">
      <alignment horizontal="center" vertical="center"/>
    </xf>
    <xf borderId="158" fillId="24" fontId="16" numFmtId="0" xfId="0" applyAlignment="1" applyBorder="1" applyFill="1" applyFont="1">
      <alignment horizontal="left" vertical="center"/>
    </xf>
    <xf borderId="159" fillId="24" fontId="16" numFmtId="0" xfId="0" applyAlignment="1" applyBorder="1" applyFont="1">
      <alignment horizontal="left" shrinkToFit="0" vertical="top" wrapText="1"/>
    </xf>
    <xf borderId="23" fillId="0" fontId="32" numFmtId="0" xfId="0" applyAlignment="1" applyBorder="1" applyFont="1">
      <alignment horizontal="left" vertical="center"/>
    </xf>
    <xf borderId="0" fillId="0" fontId="33" numFmtId="0" xfId="0" applyAlignment="1" applyFont="1">
      <alignment horizontal="left" vertical="center"/>
    </xf>
    <xf borderId="5" fillId="13" fontId="10" numFmtId="0" xfId="0" applyAlignment="1" applyBorder="1" applyFont="1">
      <alignment horizontal="center" vertical="center"/>
    </xf>
    <xf borderId="20" fillId="0" fontId="16" numFmtId="0" xfId="0" applyAlignment="1" applyBorder="1" applyFont="1">
      <alignment horizontal="left" vertical="center"/>
    </xf>
    <xf borderId="1" fillId="20" fontId="28" numFmtId="0" xfId="0" applyAlignment="1" applyBorder="1" applyFont="1">
      <alignment horizontal="center" vertical="center"/>
    </xf>
    <xf borderId="0" fillId="0" fontId="39" numFmtId="0" xfId="0" applyAlignment="1" applyFont="1">
      <alignment horizontal="left" shrinkToFit="0" vertical="center" wrapText="1"/>
    </xf>
    <xf borderId="178" fillId="23" fontId="32" numFmtId="0" xfId="0" applyAlignment="1" applyBorder="1" applyFont="1">
      <alignment horizontal="left" vertical="center"/>
    </xf>
    <xf borderId="176" fillId="23" fontId="33" numFmtId="0" xfId="0" applyAlignment="1" applyBorder="1" applyFont="1">
      <alignment horizontal="left" vertical="center"/>
    </xf>
    <xf borderId="177" fillId="23" fontId="18" numFmtId="0" xfId="0" applyAlignment="1" applyBorder="1" applyFont="1">
      <alignment horizontal="left" vertical="center"/>
    </xf>
    <xf borderId="0" fillId="0" fontId="11" numFmtId="0" xfId="0" applyAlignment="1" applyFont="1">
      <alignment horizontal="right" vertical="center"/>
    </xf>
    <xf borderId="4" fillId="19" fontId="13" numFmtId="0" xfId="0" applyAlignment="1" applyBorder="1" applyFont="1">
      <alignment horizontal="center" shrinkToFit="0" vertical="center" wrapText="1"/>
    </xf>
    <xf borderId="13" fillId="0" fontId="14" numFmtId="0" xfId="0" applyAlignment="1" applyBorder="1" applyFont="1">
      <alignment horizontal="left" vertical="center"/>
    </xf>
    <xf borderId="14" fillId="0" fontId="14" numFmtId="0" xfId="0" applyAlignment="1" applyBorder="1" applyFont="1">
      <alignment horizontal="left" vertical="center"/>
    </xf>
    <xf borderId="18" fillId="0" fontId="16" numFmtId="0" xfId="0" applyAlignment="1" applyBorder="1" applyFont="1">
      <alignment horizontal="left" vertical="center"/>
    </xf>
    <xf borderId="19" fillId="0" fontId="14" numFmtId="0" xfId="0" applyAlignment="1" applyBorder="1" applyFont="1">
      <alignment horizontal="left" vertical="center"/>
    </xf>
    <xf borderId="20" fillId="0" fontId="18" numFmtId="0" xfId="0" applyAlignment="1" applyBorder="1" applyFont="1">
      <alignment horizontal="left" vertical="top"/>
    </xf>
    <xf borderId="158" fillId="25" fontId="16" numFmtId="0" xfId="0" applyAlignment="1" applyBorder="1" applyFill="1" applyFont="1">
      <alignment horizontal="left" vertical="center"/>
    </xf>
    <xf borderId="4" fillId="0" fontId="18" numFmtId="0" xfId="0" applyAlignment="1" applyBorder="1" applyFont="1">
      <alignment horizontal="center" vertical="top"/>
    </xf>
    <xf borderId="4" fillId="0" fontId="17" numFmtId="0" xfId="0" applyAlignment="1" applyBorder="1" applyFont="1">
      <alignment horizontal="center" vertical="top"/>
    </xf>
    <xf borderId="9" fillId="0" fontId="8" numFmtId="1" xfId="0" applyAlignment="1" applyBorder="1" applyFont="1" applyNumberFormat="1">
      <alignment horizontal="center" shrinkToFit="1" vertical="center" wrapText="0"/>
    </xf>
    <xf borderId="159" fillId="25" fontId="16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 vertical="top"/>
    </xf>
    <xf borderId="165" fillId="20" fontId="16" numFmtId="0" xfId="0" applyAlignment="1" applyBorder="1" applyFont="1">
      <alignment horizontal="left" shrinkToFit="0" vertical="center" wrapText="1"/>
    </xf>
    <xf borderId="166" fillId="20" fontId="16" numFmtId="0" xfId="0" applyAlignment="1" applyBorder="1" applyFont="1">
      <alignment horizontal="left" vertical="center"/>
    </xf>
    <xf borderId="166" fillId="20" fontId="18" numFmtId="0" xfId="0" applyAlignment="1" applyBorder="1" applyFont="1">
      <alignment horizontal="center" vertical="center"/>
    </xf>
    <xf borderId="176" fillId="20" fontId="17" numFmtId="1" xfId="0" applyAlignment="1" applyBorder="1" applyFont="1" applyNumberFormat="1">
      <alignment horizontal="center" shrinkToFit="1" vertical="center" wrapText="0"/>
    </xf>
    <xf borderId="176" fillId="20" fontId="18" numFmtId="1" xfId="0" applyAlignment="1" applyBorder="1" applyFont="1" applyNumberFormat="1">
      <alignment horizontal="center" shrinkToFit="1" vertical="center" wrapText="0"/>
    </xf>
    <xf borderId="166" fillId="20" fontId="8" numFmtId="1" xfId="0" applyAlignment="1" applyBorder="1" applyFont="1" applyNumberFormat="1">
      <alignment horizontal="center" shrinkToFit="1" vertical="center" wrapText="0"/>
    </xf>
    <xf borderId="167" fillId="20" fontId="8" numFmtId="1" xfId="0" applyAlignment="1" applyBorder="1" applyFont="1" applyNumberFormat="1">
      <alignment horizontal="center" shrinkToFit="1" vertical="center" wrapText="0"/>
    </xf>
    <xf borderId="1" fillId="0" fontId="16" numFmtId="0" xfId="0" applyAlignment="1" applyBorder="1" applyFont="1">
      <alignment horizontal="left" vertical="center"/>
    </xf>
    <xf borderId="14" fillId="0" fontId="16" numFmtId="0" xfId="0" applyAlignment="1" applyBorder="1" applyFont="1">
      <alignment horizontal="left" vertical="center"/>
    </xf>
    <xf borderId="11" fillId="0" fontId="17" numFmtId="1" xfId="0" applyAlignment="1" applyBorder="1" applyFont="1" applyNumberFormat="1">
      <alignment horizontal="center" shrinkToFit="1" vertical="center" wrapText="0"/>
    </xf>
    <xf borderId="11" fillId="0" fontId="18" numFmtId="1" xfId="0" applyAlignment="1" applyBorder="1" applyFont="1" applyNumberFormat="1">
      <alignment horizontal="center" shrinkToFit="1" vertical="center" wrapText="0"/>
    </xf>
    <xf borderId="10" fillId="0" fontId="8" numFmtId="1" xfId="0" applyAlignment="1" applyBorder="1" applyFont="1" applyNumberFormat="1">
      <alignment horizontal="center" shrinkToFit="1" vertical="center" wrapText="0"/>
    </xf>
    <xf borderId="159" fillId="4" fontId="16" numFmtId="0" xfId="0" applyAlignment="1" applyBorder="1" applyFont="1">
      <alignment horizontal="left" shrinkToFit="0" vertical="center" wrapText="1"/>
    </xf>
    <xf borderId="165" fillId="19" fontId="16" numFmtId="0" xfId="0" applyAlignment="1" applyBorder="1" applyFont="1">
      <alignment horizontal="left" shrinkToFit="0" vertical="center" wrapText="1"/>
    </xf>
    <xf borderId="166" fillId="19" fontId="16" numFmtId="0" xfId="0" applyAlignment="1" applyBorder="1" applyFont="1">
      <alignment horizontal="left" vertical="center"/>
    </xf>
    <xf borderId="166" fillId="19" fontId="18" numFmtId="0" xfId="0" applyAlignment="1" applyBorder="1" applyFont="1">
      <alignment horizontal="center" vertical="center"/>
    </xf>
    <xf borderId="176" fillId="19" fontId="17" numFmtId="1" xfId="0" applyAlignment="1" applyBorder="1" applyFont="1" applyNumberFormat="1">
      <alignment horizontal="center" shrinkToFit="1" vertical="center" wrapText="0"/>
    </xf>
    <xf borderId="176" fillId="19" fontId="18" numFmtId="1" xfId="0" applyAlignment="1" applyBorder="1" applyFont="1" applyNumberFormat="1">
      <alignment horizontal="center" shrinkToFit="1" vertical="center" wrapText="0"/>
    </xf>
    <xf borderId="166" fillId="19" fontId="8" numFmtId="1" xfId="0" applyAlignment="1" applyBorder="1" applyFont="1" applyNumberFormat="1">
      <alignment horizontal="center" shrinkToFit="1" vertical="center" wrapText="0"/>
    </xf>
    <xf borderId="167" fillId="19" fontId="8" numFmtId="1" xfId="0" applyAlignment="1" applyBorder="1" applyFont="1" applyNumberFormat="1">
      <alignment horizontal="center" shrinkToFit="1" vertical="center" wrapText="0"/>
    </xf>
    <xf borderId="159" fillId="24" fontId="16" numFmtId="0" xfId="0" applyAlignment="1" applyBorder="1" applyFont="1">
      <alignment horizontal="left" shrinkToFit="0" vertical="center" wrapText="1"/>
    </xf>
    <xf borderId="186" fillId="0" fontId="4" numFmtId="0" xfId="0" applyAlignment="1" applyBorder="1" applyFont="1">
      <alignment horizontal="left" vertical="top"/>
    </xf>
    <xf borderId="187" fillId="22" fontId="29" numFmtId="0" xfId="0" applyAlignment="1" applyBorder="1" applyFont="1">
      <alignment horizontal="center" vertical="center"/>
    </xf>
    <xf borderId="188" fillId="0" fontId="4" numFmtId="0" xfId="0" applyAlignment="1" applyBorder="1" applyFont="1">
      <alignment horizontal="left" vertical="top"/>
    </xf>
    <xf borderId="189" fillId="19" fontId="12" numFmtId="0" xfId="0" applyAlignment="1" applyBorder="1" applyFont="1">
      <alignment horizontal="center" shrinkToFit="0" vertical="center" wrapText="1"/>
    </xf>
    <xf borderId="190" fillId="0" fontId="4" numFmtId="0" xfId="0" applyAlignment="1" applyBorder="1" applyFont="1">
      <alignment horizontal="left" vertical="top"/>
    </xf>
    <xf borderId="191" fillId="0" fontId="4" numFmtId="0" xfId="0" applyAlignment="1" applyBorder="1" applyFont="1">
      <alignment horizontal="left" vertical="top"/>
    </xf>
    <xf borderId="23" fillId="0" fontId="40" numFmtId="0" xfId="0" applyAlignment="1" applyBorder="1" applyFont="1">
      <alignment horizontal="left" vertical="center"/>
    </xf>
    <xf borderId="23" fillId="0" fontId="41" numFmtId="0" xfId="0" applyAlignment="1" applyBorder="1" applyFont="1">
      <alignment horizontal="left" vertical="center"/>
    </xf>
    <xf borderId="23" fillId="0" fontId="38" numFmtId="0" xfId="0" applyAlignment="1" applyBorder="1" applyFont="1">
      <alignment horizontal="left" vertical="center"/>
    </xf>
    <xf borderId="27" fillId="19" fontId="13" numFmtId="0" xfId="0" applyAlignment="1" applyBorder="1" applyFont="1">
      <alignment horizontal="center" shrinkToFit="0" vertical="center" wrapText="1"/>
    </xf>
    <xf borderId="10" fillId="0" fontId="18" numFmtId="9" xfId="0" applyAlignment="1" applyBorder="1" applyFont="1" applyNumberFormat="1">
      <alignment horizontal="center" vertical="center"/>
    </xf>
    <xf borderId="23" fillId="0" fontId="17" numFmtId="0" xfId="0" applyAlignment="1" applyBorder="1" applyFont="1">
      <alignment horizontal="left" vertical="center"/>
    </xf>
    <xf borderId="164" fillId="10" fontId="16" numFmtId="0" xfId="0" applyAlignment="1" applyBorder="1" applyFont="1">
      <alignment horizontal="left" vertical="center"/>
    </xf>
    <xf borderId="161" fillId="10" fontId="16" numFmtId="0" xfId="0" applyAlignment="1" applyBorder="1" applyFont="1">
      <alignment horizontal="left" shrinkToFit="0" vertical="center" wrapText="1"/>
    </xf>
    <xf borderId="165" fillId="19" fontId="28" numFmtId="0" xfId="0" applyAlignment="1" applyBorder="1" applyFont="1">
      <alignment horizontal="left" vertical="center"/>
    </xf>
    <xf borderId="166" fillId="19" fontId="28" numFmtId="0" xfId="0" applyAlignment="1" applyBorder="1" applyFont="1">
      <alignment horizontal="left" vertical="center"/>
    </xf>
    <xf borderId="167" fillId="19" fontId="28" numFmtId="0" xfId="0" applyAlignment="1" applyBorder="1" applyFont="1">
      <alignment horizontal="left" vertical="center"/>
    </xf>
    <xf borderId="166" fillId="20" fontId="28" numFmtId="0" xfId="0" applyAlignment="1" applyBorder="1" applyFont="1">
      <alignment horizontal="left" vertical="center"/>
    </xf>
    <xf borderId="167" fillId="20" fontId="28" numFmtId="0" xfId="0" applyAlignment="1" applyBorder="1" applyFont="1">
      <alignment horizontal="left" vertical="center"/>
    </xf>
    <xf borderId="164" fillId="4" fontId="16" numFmtId="0" xfId="0" applyAlignment="1" applyBorder="1" applyFont="1">
      <alignment horizontal="left" vertical="center"/>
    </xf>
    <xf borderId="30" fillId="19" fontId="12" numFmtId="0" xfId="0" applyAlignment="1" applyBorder="1" applyFont="1">
      <alignment horizontal="center" shrinkToFit="0" vertical="center" wrapText="1"/>
    </xf>
    <xf borderId="1" fillId="0" fontId="42" numFmtId="0" xfId="0" applyAlignment="1" applyBorder="1" applyFont="1">
      <alignment horizontal="left" vertical="center"/>
    </xf>
    <xf borderId="0" fillId="0" fontId="42" numFmtId="0" xfId="0" applyAlignment="1" applyFont="1">
      <alignment horizontal="right" vertical="center"/>
    </xf>
    <xf borderId="0" fillId="0" fontId="42" numFmtId="0" xfId="0" applyAlignment="1" applyFont="1">
      <alignment horizontal="left" vertical="center"/>
    </xf>
    <xf borderId="1" fillId="19" fontId="28" numFmtId="0" xfId="0" applyAlignment="1" applyBorder="1" applyFont="1">
      <alignment horizontal="center" vertical="center"/>
    </xf>
    <xf borderId="158" fillId="26" fontId="16" numFmtId="0" xfId="0" applyAlignment="1" applyBorder="1" applyFill="1" applyFont="1">
      <alignment horizontal="left" vertical="center"/>
    </xf>
    <xf borderId="159" fillId="26" fontId="16" numFmtId="0" xfId="0" applyAlignment="1" applyBorder="1" applyFont="1">
      <alignment horizontal="left" shrinkToFit="0" vertical="center" wrapText="1"/>
    </xf>
    <xf borderId="158" fillId="27" fontId="16" numFmtId="0" xfId="0" applyAlignment="1" applyBorder="1" applyFill="1" applyFont="1">
      <alignment horizontal="left" vertical="center"/>
    </xf>
    <xf borderId="159" fillId="27" fontId="16" numFmtId="0" xfId="0" applyAlignment="1" applyBorder="1" applyFont="1">
      <alignment horizontal="left" shrinkToFit="0" vertical="center" wrapText="1"/>
    </xf>
    <xf borderId="1" fillId="28" fontId="28" numFmtId="0" xfId="0" applyAlignment="1" applyBorder="1" applyFill="1" applyFont="1">
      <alignment horizontal="center" vertical="center"/>
    </xf>
    <xf borderId="165" fillId="27" fontId="28" numFmtId="0" xfId="0" applyAlignment="1" applyBorder="1" applyFont="1">
      <alignment horizontal="left" vertical="center"/>
    </xf>
    <xf borderId="166" fillId="27" fontId="35" numFmtId="0" xfId="0" applyAlignment="1" applyBorder="1" applyFont="1">
      <alignment horizontal="left" vertical="top"/>
    </xf>
    <xf borderId="167" fillId="27" fontId="35" numFmtId="0" xfId="0" applyAlignment="1" applyBorder="1" applyFont="1">
      <alignment horizontal="left" vertical="top"/>
    </xf>
    <xf borderId="24" fillId="0" fontId="12" numFmtId="0" xfId="0" applyAlignment="1" applyBorder="1" applyFont="1">
      <alignment horizontal="center" shrinkToFit="0" vertical="center" wrapText="1"/>
    </xf>
    <xf borderId="166" fillId="21" fontId="35" numFmtId="0" xfId="0" applyAlignment="1" applyBorder="1" applyFont="1">
      <alignment horizontal="left" vertical="top"/>
    </xf>
    <xf borderId="167" fillId="21" fontId="35" numFmtId="0" xfId="0" applyAlignment="1" applyBorder="1" applyFont="1">
      <alignment horizontal="left" vertical="top"/>
    </xf>
    <xf borderId="177" fillId="23" fontId="33" numFmtId="0" xfId="0" applyAlignment="1" applyBorder="1" applyFont="1">
      <alignment horizontal="left" vertical="center"/>
    </xf>
    <xf borderId="27" fillId="15" fontId="15" numFmtId="1" xfId="0" applyAlignment="1" applyBorder="1" applyFont="1" applyNumberFormat="1">
      <alignment horizontal="center" shrinkToFit="1" vertical="center" wrapText="0"/>
    </xf>
    <xf borderId="173" fillId="15" fontId="15" numFmtId="1" xfId="0" applyAlignment="1" applyBorder="1" applyFont="1" applyNumberFormat="1">
      <alignment horizontal="center" shrinkToFit="1" vertical="top" wrapText="0"/>
    </xf>
    <xf borderId="13" fillId="0" fontId="43" numFmtId="0" xfId="0" applyAlignment="1" applyBorder="1" applyFont="1">
      <alignment horizontal="left" vertical="center"/>
    </xf>
    <xf borderId="158" fillId="16" fontId="16" numFmtId="0" xfId="0" applyAlignment="1" applyBorder="1" applyFont="1">
      <alignment horizontal="left" vertical="center"/>
    </xf>
    <xf borderId="11" fillId="0" fontId="18" numFmtId="0" xfId="0" applyAlignment="1" applyBorder="1" applyFont="1">
      <alignment horizontal="center" vertical="center"/>
    </xf>
    <xf borderId="164" fillId="16" fontId="16" numFmtId="0" xfId="0" applyAlignment="1" applyBorder="1" applyFont="1">
      <alignment horizontal="left" shrinkToFit="0" vertical="center" wrapText="1"/>
    </xf>
    <xf borderId="166" fillId="27" fontId="35" numFmtId="0" xfId="0" applyAlignment="1" applyBorder="1" applyFont="1">
      <alignment horizontal="center" vertical="top"/>
    </xf>
    <xf borderId="167" fillId="27" fontId="35" numFmtId="0" xfId="0" applyAlignment="1" applyBorder="1" applyFont="1">
      <alignment horizontal="center" vertical="top"/>
    </xf>
    <xf borderId="4" fillId="27" fontId="8" numFmtId="1" xfId="0" applyAlignment="1" applyBorder="1" applyFont="1" applyNumberFormat="1">
      <alignment horizontal="center" shrinkToFit="1" vertical="center" wrapText="0"/>
    </xf>
    <xf borderId="168" fillId="16" fontId="16" numFmtId="0" xfId="0" applyAlignment="1" applyBorder="1" applyFont="1">
      <alignment horizontal="left" shrinkToFit="0" vertical="center" wrapText="1"/>
    </xf>
    <xf borderId="25" fillId="27" fontId="8" numFmtId="0" xfId="0" applyAlignment="1" applyBorder="1" applyFont="1">
      <alignment horizontal="left" vertical="center"/>
    </xf>
    <xf borderId="165" fillId="29" fontId="28" numFmtId="0" xfId="0" applyAlignment="1" applyBorder="1" applyFill="1" applyFont="1">
      <alignment horizontal="left" vertical="center"/>
    </xf>
    <xf borderId="166" fillId="29" fontId="35" numFmtId="0" xfId="0" applyAlignment="1" applyBorder="1" applyFont="1">
      <alignment horizontal="left" vertical="top"/>
    </xf>
    <xf borderId="166" fillId="29" fontId="35" numFmtId="0" xfId="0" applyAlignment="1" applyBorder="1" applyFont="1">
      <alignment horizontal="center" vertical="top"/>
    </xf>
    <xf borderId="167" fillId="29" fontId="35" numFmtId="0" xfId="0" applyAlignment="1" applyBorder="1" applyFont="1">
      <alignment horizontal="left" vertical="top"/>
    </xf>
    <xf borderId="164" fillId="26" fontId="16" numFmtId="0" xfId="0" applyAlignment="1" applyBorder="1" applyFont="1">
      <alignment horizontal="left" shrinkToFit="0" vertical="center" wrapText="1"/>
    </xf>
    <xf borderId="192" fillId="22" fontId="29" numFmtId="0" xfId="0" applyAlignment="1" applyBorder="1" applyFont="1">
      <alignment horizontal="center" vertical="center"/>
    </xf>
    <xf borderId="193" fillId="0" fontId="4" numFmtId="0" xfId="0" applyAlignment="1" applyBorder="1" applyFont="1">
      <alignment horizontal="left" vertical="top"/>
    </xf>
    <xf borderId="15" fillId="0" fontId="8" numFmtId="0" xfId="0" applyAlignment="1" applyBorder="1" applyFont="1">
      <alignment horizontal="left" vertical="center"/>
    </xf>
    <xf borderId="26" fillId="4" fontId="8" numFmtId="0" xfId="0" applyAlignment="1" applyBorder="1" applyFont="1">
      <alignment horizontal="left" vertical="center"/>
    </xf>
    <xf borderId="1" fillId="0" fontId="1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 vertical="center"/>
    </xf>
    <xf borderId="19" fillId="0" fontId="18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0</xdr:row>
      <xdr:rowOff>0</xdr:rowOff>
    </xdr:from>
    <xdr:ext cx="3924300" cy="828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1</xdr:row>
      <xdr:rowOff>0</xdr:rowOff>
    </xdr:from>
    <xdr:ext cx="17621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161925</xdr:colOff>
      <xdr:row>1</xdr:row>
      <xdr:rowOff>19050</xdr:rowOff>
    </xdr:from>
    <xdr:ext cx="17621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1</xdr:row>
      <xdr:rowOff>9525</xdr:rowOff>
    </xdr:from>
    <xdr:ext cx="17621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0</xdr:row>
      <xdr:rowOff>142875</xdr:rowOff>
    </xdr:from>
    <xdr:ext cx="1762125" cy="400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1</xdr:row>
      <xdr:rowOff>9525</xdr:rowOff>
    </xdr:from>
    <xdr:ext cx="17621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1</xdr:row>
      <xdr:rowOff>28575</xdr:rowOff>
    </xdr:from>
    <xdr:ext cx="17621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1</xdr:row>
      <xdr:rowOff>9525</xdr:rowOff>
    </xdr:from>
    <xdr:ext cx="17621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171450</xdr:colOff>
      <xdr:row>1</xdr:row>
      <xdr:rowOff>0</xdr:rowOff>
    </xdr:from>
    <xdr:ext cx="18002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190500</xdr:colOff>
      <xdr:row>0</xdr:row>
      <xdr:rowOff>152400</xdr:rowOff>
    </xdr:from>
    <xdr:ext cx="18002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438150</xdr:colOff>
      <xdr:row>1</xdr:row>
      <xdr:rowOff>9525</xdr:rowOff>
    </xdr:from>
    <xdr:ext cx="18002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1</xdr:row>
      <xdr:rowOff>28575</xdr:rowOff>
    </xdr:from>
    <xdr:ext cx="18002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381000</xdr:colOff>
      <xdr:row>0</xdr:row>
      <xdr:rowOff>133350</xdr:rowOff>
    </xdr:from>
    <xdr:ext cx="18002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0</xdr:row>
      <xdr:rowOff>114300</xdr:rowOff>
    </xdr:from>
    <xdr:ext cx="18002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1</xdr:row>
      <xdr:rowOff>47625</xdr:rowOff>
    </xdr:from>
    <xdr:ext cx="17621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1</xdr:row>
      <xdr:rowOff>19050</xdr:rowOff>
    </xdr:from>
    <xdr:ext cx="17621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1</xdr:row>
      <xdr:rowOff>38100</xdr:rowOff>
    </xdr:from>
    <xdr:ext cx="18002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1</xdr:row>
      <xdr:rowOff>28575</xdr:rowOff>
    </xdr:from>
    <xdr:ext cx="18002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1</xdr:row>
      <xdr:rowOff>9525</xdr:rowOff>
    </xdr:from>
    <xdr:ext cx="18002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0</xdr:row>
      <xdr:rowOff>104775</xdr:rowOff>
    </xdr:from>
    <xdr:ext cx="18002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1</xdr:row>
      <xdr:rowOff>9525</xdr:rowOff>
    </xdr:from>
    <xdr:ext cx="18002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1</xdr:row>
      <xdr:rowOff>9525</xdr:rowOff>
    </xdr:from>
    <xdr:ext cx="18002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361950</xdr:colOff>
      <xdr:row>0</xdr:row>
      <xdr:rowOff>123825</xdr:rowOff>
    </xdr:from>
    <xdr:ext cx="180022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69.29"/>
    <col customWidth="1" min="3" max="3" width="18.14"/>
    <col customWidth="1" min="4" max="4" width="26.71"/>
    <col customWidth="1" min="5" max="24" width="9.29"/>
  </cols>
  <sheetData>
    <row r="1" ht="18.0" customHeight="1">
      <c r="A1" s="1"/>
      <c r="B1" s="2"/>
      <c r="C1" s="2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1"/>
      <c r="B2" s="2"/>
      <c r="C2" s="2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2"/>
      <c r="C3" s="2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1"/>
      <c r="B4" s="2"/>
      <c r="C4" s="2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2"/>
      <c r="C5" s="2"/>
      <c r="D5" s="3" t="s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2.5" customHeight="1">
      <c r="A6" s="4" t="s">
        <v>1</v>
      </c>
      <c r="B6" s="5"/>
      <c r="C6" s="5"/>
      <c r="D6" s="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7" t="s">
        <v>2</v>
      </c>
      <c r="B7" s="7" t="s">
        <v>3</v>
      </c>
      <c r="C7" s="7" t="s">
        <v>4</v>
      </c>
      <c r="D7" s="7" t="s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8" t="s">
        <v>6</v>
      </c>
      <c r="B8" s="9" t="s">
        <v>7</v>
      </c>
      <c r="C8" s="9" t="s">
        <v>8</v>
      </c>
      <c r="D8" s="10" t="s">
        <v>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8" t="s">
        <v>10</v>
      </c>
      <c r="B9" s="9" t="s">
        <v>11</v>
      </c>
      <c r="C9" s="9" t="s">
        <v>8</v>
      </c>
      <c r="D9" s="10" t="s">
        <v>12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8" t="s">
        <v>13</v>
      </c>
      <c r="B10" s="9" t="s">
        <v>14</v>
      </c>
      <c r="C10" s="9" t="s">
        <v>8</v>
      </c>
      <c r="D10" s="11" t="s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8" t="s">
        <v>16</v>
      </c>
      <c r="B11" s="9" t="s">
        <v>17</v>
      </c>
      <c r="C11" s="9" t="s">
        <v>8</v>
      </c>
      <c r="D11" s="11" t="s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75" customHeight="1">
      <c r="A12" s="8" t="s">
        <v>19</v>
      </c>
      <c r="B12" s="9" t="s">
        <v>20</v>
      </c>
      <c r="C12" s="9" t="s">
        <v>8</v>
      </c>
      <c r="D12" s="12" t="s">
        <v>21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8" t="s">
        <v>22</v>
      </c>
      <c r="B13" s="9" t="s">
        <v>23</v>
      </c>
      <c r="C13" s="9" t="s">
        <v>8</v>
      </c>
      <c r="D13" s="1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75" customHeight="1">
      <c r="A14" s="8" t="s">
        <v>25</v>
      </c>
      <c r="B14" s="9" t="s">
        <v>26</v>
      </c>
      <c r="C14" s="9" t="s">
        <v>8</v>
      </c>
      <c r="D14" s="13" t="s">
        <v>27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75" customHeight="1">
      <c r="A15" s="8" t="s">
        <v>28</v>
      </c>
      <c r="B15" s="9" t="s">
        <v>29</v>
      </c>
      <c r="C15" s="14">
        <v>200.0</v>
      </c>
      <c r="D15" s="15" t="s">
        <v>30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75" customHeight="1">
      <c r="A16" s="8" t="s">
        <v>31</v>
      </c>
      <c r="B16" s="9" t="s">
        <v>32</v>
      </c>
      <c r="C16" s="14">
        <v>200.0</v>
      </c>
      <c r="D16" s="15" t="s">
        <v>33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75" customHeight="1">
      <c r="A17" s="8" t="s">
        <v>34</v>
      </c>
      <c r="B17" s="11" t="s">
        <v>35</v>
      </c>
      <c r="C17" s="16">
        <v>200.0</v>
      </c>
      <c r="D17" s="17" t="s">
        <v>36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75" customHeight="1">
      <c r="A18" s="8" t="s">
        <v>37</v>
      </c>
      <c r="B18" s="9" t="s">
        <v>38</v>
      </c>
      <c r="C18" s="14">
        <v>200.0</v>
      </c>
      <c r="D18" s="17" t="s">
        <v>39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75" customHeight="1">
      <c r="A19" s="8" t="s">
        <v>40</v>
      </c>
      <c r="B19" s="9" t="s">
        <v>41</v>
      </c>
      <c r="C19" s="14">
        <v>200.0</v>
      </c>
      <c r="D19" s="18" t="s">
        <v>42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75" customHeight="1">
      <c r="A20" s="8" t="s">
        <v>43</v>
      </c>
      <c r="B20" s="9" t="s">
        <v>44</v>
      </c>
      <c r="C20" s="14">
        <v>200.0</v>
      </c>
      <c r="D20" s="18" t="s">
        <v>45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75" customHeight="1">
      <c r="A21" s="8" t="s">
        <v>46</v>
      </c>
      <c r="B21" s="9" t="s">
        <v>47</v>
      </c>
      <c r="C21" s="14">
        <v>200.0</v>
      </c>
      <c r="D21" s="19" t="s">
        <v>48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8" t="s">
        <v>49</v>
      </c>
      <c r="B22" s="9" t="s">
        <v>50</v>
      </c>
      <c r="C22" s="14">
        <v>200.0</v>
      </c>
      <c r="D22" s="19" t="s">
        <v>51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75" customHeight="1">
      <c r="A23" s="8" t="s">
        <v>52</v>
      </c>
      <c r="B23" s="9" t="s">
        <v>53</v>
      </c>
      <c r="C23" s="14">
        <v>200.0</v>
      </c>
      <c r="D23" s="20" t="s">
        <v>54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75" customHeight="1">
      <c r="A24" s="8" t="s">
        <v>55</v>
      </c>
      <c r="B24" s="9" t="s">
        <v>56</v>
      </c>
      <c r="C24" s="14">
        <v>200.0</v>
      </c>
      <c r="D24" s="20" t="s">
        <v>57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75" customHeight="1">
      <c r="A25" s="8" t="s">
        <v>58</v>
      </c>
      <c r="B25" s="9" t="s">
        <v>59</v>
      </c>
      <c r="C25" s="14">
        <v>200.0</v>
      </c>
      <c r="D25" s="21" t="s">
        <v>60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75" customHeight="1">
      <c r="A26" s="8" t="s">
        <v>61</v>
      </c>
      <c r="B26" s="9" t="s">
        <v>62</v>
      </c>
      <c r="C26" s="14">
        <v>200.0</v>
      </c>
      <c r="D26" s="21" t="s">
        <v>63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8" t="s">
        <v>64</v>
      </c>
      <c r="B27" s="9" t="s">
        <v>65</v>
      </c>
      <c r="C27" s="14">
        <v>200.0</v>
      </c>
      <c r="D27" s="22" t="s">
        <v>66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75" customHeight="1">
      <c r="A28" s="8" t="s">
        <v>67</v>
      </c>
      <c r="B28" s="9" t="s">
        <v>68</v>
      </c>
      <c r="C28" s="14">
        <v>200.0</v>
      </c>
      <c r="D28" s="22" t="s">
        <v>69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1"/>
      <c r="B29" s="2"/>
      <c r="C29" s="2"/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1"/>
      <c r="B30" s="2"/>
      <c r="C30" s="2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1"/>
      <c r="B31" s="2"/>
      <c r="C31" s="2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1"/>
      <c r="B32" s="2"/>
      <c r="C32" s="2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1"/>
      <c r="B33" s="2"/>
      <c r="C33" s="2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1"/>
      <c r="B34" s="2"/>
      <c r="C34" s="2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1"/>
      <c r="B35" s="2"/>
      <c r="C35" s="2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1"/>
      <c r="B36" s="2"/>
      <c r="C36" s="2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1"/>
      <c r="B37" s="2"/>
      <c r="C37" s="2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1"/>
      <c r="B38" s="2"/>
      <c r="C38" s="2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1"/>
      <c r="B39" s="2"/>
      <c r="C39" s="2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1"/>
      <c r="B40" s="2"/>
      <c r="C40" s="2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1"/>
      <c r="B41" s="2"/>
      <c r="C41" s="2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1"/>
      <c r="B42" s="2"/>
      <c r="C42" s="2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1"/>
      <c r="B43" s="2"/>
      <c r="C43" s="2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1"/>
      <c r="B44" s="2"/>
      <c r="C44" s="2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1"/>
      <c r="B45" s="2"/>
      <c r="C45" s="2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1"/>
      <c r="B46" s="2"/>
      <c r="C46" s="2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1"/>
      <c r="B47" s="2"/>
      <c r="C47" s="2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1"/>
      <c r="B48" s="2"/>
      <c r="C48" s="2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1"/>
      <c r="B49" s="2"/>
      <c r="C49" s="2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1"/>
      <c r="B50" s="2"/>
      <c r="C50" s="2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1"/>
      <c r="B51" s="2"/>
      <c r="C51" s="2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1"/>
      <c r="B52" s="2"/>
      <c r="C52" s="2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1"/>
      <c r="B53" s="2"/>
      <c r="C53" s="2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1"/>
      <c r="B54" s="2"/>
      <c r="C54" s="2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1"/>
      <c r="B55" s="2"/>
      <c r="C55" s="2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1"/>
      <c r="B56" s="2"/>
      <c r="C56" s="2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1"/>
      <c r="B57" s="2"/>
      <c r="C57" s="2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1"/>
      <c r="B58" s="2"/>
      <c r="C58" s="2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1"/>
      <c r="B59" s="2"/>
      <c r="C59" s="2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1"/>
      <c r="B60" s="2"/>
      <c r="C60" s="2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1"/>
      <c r="B61" s="2"/>
      <c r="C61" s="2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1"/>
      <c r="B62" s="2"/>
      <c r="C62" s="2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1"/>
      <c r="B63" s="2"/>
      <c r="C63" s="2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1"/>
      <c r="B64" s="2"/>
      <c r="C64" s="2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1"/>
      <c r="B65" s="2"/>
      <c r="C65" s="2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1"/>
      <c r="B66" s="2"/>
      <c r="C66" s="2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1"/>
      <c r="B67" s="2"/>
      <c r="C67" s="2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1"/>
      <c r="B68" s="2"/>
      <c r="C68" s="2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1"/>
      <c r="B69" s="2"/>
      <c r="C69" s="2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1"/>
      <c r="B70" s="2"/>
      <c r="C70" s="2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1"/>
      <c r="B71" s="2"/>
      <c r="C71" s="2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1"/>
      <c r="B72" s="2"/>
      <c r="C72" s="2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1"/>
      <c r="B73" s="2"/>
      <c r="C73" s="2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1"/>
      <c r="B74" s="2"/>
      <c r="C74" s="2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1"/>
      <c r="B75" s="2"/>
      <c r="C75" s="2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1"/>
      <c r="B76" s="2"/>
      <c r="C76" s="2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1"/>
      <c r="B77" s="2"/>
      <c r="C77" s="2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1"/>
      <c r="B78" s="2"/>
      <c r="C78" s="2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1"/>
      <c r="B79" s="2"/>
      <c r="C79" s="2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1"/>
      <c r="B80" s="2"/>
      <c r="C80" s="2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1"/>
      <c r="B81" s="2"/>
      <c r="C81" s="2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1"/>
      <c r="B82" s="2"/>
      <c r="C82" s="2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1"/>
      <c r="B83" s="2"/>
      <c r="C83" s="2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1"/>
      <c r="B84" s="2"/>
      <c r="C84" s="2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1"/>
      <c r="B85" s="2"/>
      <c r="C85" s="2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1"/>
      <c r="B86" s="2"/>
      <c r="C86" s="2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1"/>
      <c r="B87" s="2"/>
      <c r="C87" s="2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1"/>
      <c r="B88" s="2"/>
      <c r="C88" s="2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1"/>
      <c r="B89" s="2"/>
      <c r="C89" s="2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1"/>
      <c r="B90" s="2"/>
      <c r="C90" s="2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1"/>
      <c r="B91" s="2"/>
      <c r="C91" s="2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1"/>
      <c r="B92" s="2"/>
      <c r="C92" s="2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1"/>
      <c r="B93" s="2"/>
      <c r="C93" s="2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1"/>
      <c r="B94" s="2"/>
      <c r="C94" s="2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1"/>
      <c r="B95" s="2"/>
      <c r="C95" s="2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1"/>
      <c r="B96" s="2"/>
      <c r="C96" s="2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1"/>
      <c r="B97" s="2"/>
      <c r="C97" s="2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1"/>
      <c r="B98" s="2"/>
      <c r="C98" s="2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1"/>
      <c r="B99" s="2"/>
      <c r="C99" s="2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1"/>
      <c r="B100" s="2"/>
      <c r="C100" s="2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1"/>
      <c r="B101" s="2"/>
      <c r="C101" s="2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1"/>
      <c r="B102" s="2"/>
      <c r="C102" s="2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1"/>
      <c r="B103" s="2"/>
      <c r="C103" s="2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1"/>
      <c r="B104" s="2"/>
      <c r="C104" s="2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1"/>
      <c r="B105" s="2"/>
      <c r="C105" s="2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1"/>
      <c r="B106" s="2"/>
      <c r="C106" s="2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1"/>
      <c r="B107" s="2"/>
      <c r="C107" s="2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1"/>
      <c r="B108" s="2"/>
      <c r="C108" s="2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1"/>
      <c r="B109" s="2"/>
      <c r="C109" s="2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1"/>
      <c r="B110" s="2"/>
      <c r="C110" s="2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1"/>
      <c r="B111" s="2"/>
      <c r="C111" s="2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1"/>
      <c r="B112" s="2"/>
      <c r="C112" s="2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1"/>
      <c r="B113" s="2"/>
      <c r="C113" s="2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1"/>
      <c r="B114" s="2"/>
      <c r="C114" s="2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1"/>
      <c r="B115" s="2"/>
      <c r="C115" s="2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1"/>
      <c r="B116" s="2"/>
      <c r="C116" s="2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1"/>
      <c r="B117" s="2"/>
      <c r="C117" s="2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1"/>
      <c r="B118" s="2"/>
      <c r="C118" s="2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1"/>
      <c r="B119" s="2"/>
      <c r="C119" s="2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1"/>
      <c r="B120" s="2"/>
      <c r="C120" s="2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1"/>
      <c r="B121" s="2"/>
      <c r="C121" s="2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1"/>
      <c r="B122" s="2"/>
      <c r="C122" s="2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1"/>
      <c r="B123" s="2"/>
      <c r="C123" s="2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1"/>
      <c r="B124" s="2"/>
      <c r="C124" s="2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1"/>
      <c r="B125" s="2"/>
      <c r="C125" s="2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1"/>
      <c r="B126" s="2"/>
      <c r="C126" s="2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1"/>
      <c r="B127" s="2"/>
      <c r="C127" s="2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1"/>
      <c r="B128" s="2"/>
      <c r="C128" s="2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1"/>
      <c r="B129" s="2"/>
      <c r="C129" s="2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1"/>
      <c r="B130" s="2"/>
      <c r="C130" s="2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1"/>
      <c r="B131" s="2"/>
      <c r="C131" s="2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1"/>
      <c r="B132" s="2"/>
      <c r="C132" s="2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1"/>
      <c r="B133" s="2"/>
      <c r="C133" s="2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1"/>
      <c r="B134" s="2"/>
      <c r="C134" s="2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1"/>
      <c r="B135" s="2"/>
      <c r="C135" s="2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1"/>
      <c r="B136" s="2"/>
      <c r="C136" s="2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1"/>
      <c r="B137" s="2"/>
      <c r="C137" s="2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1"/>
      <c r="B138" s="2"/>
      <c r="C138" s="2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1"/>
      <c r="B139" s="2"/>
      <c r="C139" s="2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1"/>
      <c r="B140" s="2"/>
      <c r="C140" s="2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1"/>
      <c r="B141" s="2"/>
      <c r="C141" s="2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1"/>
      <c r="B142" s="2"/>
      <c r="C142" s="2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1"/>
      <c r="B143" s="2"/>
      <c r="C143" s="2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1"/>
      <c r="B144" s="2"/>
      <c r="C144" s="2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1"/>
      <c r="B145" s="2"/>
      <c r="C145" s="2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1"/>
      <c r="B146" s="2"/>
      <c r="C146" s="2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1"/>
      <c r="B147" s="2"/>
      <c r="C147" s="2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1"/>
      <c r="B148" s="2"/>
      <c r="C148" s="2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1"/>
      <c r="B149" s="2"/>
      <c r="C149" s="2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1"/>
      <c r="B150" s="2"/>
      <c r="C150" s="2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1"/>
      <c r="B151" s="2"/>
      <c r="C151" s="2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1"/>
      <c r="B152" s="2"/>
      <c r="C152" s="2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1"/>
      <c r="B153" s="2"/>
      <c r="C153" s="2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1"/>
      <c r="B154" s="2"/>
      <c r="C154" s="2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1"/>
      <c r="B155" s="2"/>
      <c r="C155" s="2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1"/>
      <c r="B156" s="2"/>
      <c r="C156" s="2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1"/>
      <c r="B157" s="2"/>
      <c r="C157" s="2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1"/>
      <c r="B158" s="2"/>
      <c r="C158" s="2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1"/>
      <c r="B159" s="2"/>
      <c r="C159" s="2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1"/>
      <c r="B160" s="2"/>
      <c r="C160" s="2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1"/>
      <c r="B161" s="2"/>
      <c r="C161" s="2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1"/>
      <c r="B162" s="2"/>
      <c r="C162" s="2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1"/>
      <c r="B163" s="2"/>
      <c r="C163" s="2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1"/>
      <c r="B164" s="2"/>
      <c r="C164" s="2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1"/>
      <c r="B165" s="2"/>
      <c r="C165" s="2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1"/>
      <c r="B166" s="2"/>
      <c r="C166" s="2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1"/>
      <c r="B167" s="2"/>
      <c r="C167" s="2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1"/>
      <c r="B168" s="2"/>
      <c r="C168" s="2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1"/>
      <c r="B169" s="2"/>
      <c r="C169" s="2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1"/>
      <c r="B170" s="2"/>
      <c r="C170" s="2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1"/>
      <c r="B171" s="2"/>
      <c r="C171" s="2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1"/>
      <c r="B172" s="2"/>
      <c r="C172" s="2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1"/>
      <c r="B173" s="2"/>
      <c r="C173" s="2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1"/>
      <c r="B174" s="2"/>
      <c r="C174" s="2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1"/>
      <c r="B175" s="2"/>
      <c r="C175" s="2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1"/>
      <c r="B176" s="2"/>
      <c r="C176" s="2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1"/>
      <c r="B177" s="2"/>
      <c r="C177" s="2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1"/>
      <c r="B178" s="2"/>
      <c r="C178" s="2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1"/>
      <c r="B179" s="2"/>
      <c r="C179" s="2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1"/>
      <c r="B180" s="2"/>
      <c r="C180" s="2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1"/>
      <c r="B181" s="2"/>
      <c r="C181" s="2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1"/>
      <c r="B182" s="2"/>
      <c r="C182" s="2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1"/>
      <c r="B183" s="2"/>
      <c r="C183" s="2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1"/>
      <c r="B184" s="2"/>
      <c r="C184" s="2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1"/>
      <c r="B185" s="2"/>
      <c r="C185" s="2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1"/>
      <c r="B186" s="2"/>
      <c r="C186" s="2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1"/>
      <c r="B187" s="2"/>
      <c r="C187" s="2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1"/>
      <c r="B188" s="2"/>
      <c r="C188" s="2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1"/>
      <c r="B189" s="2"/>
      <c r="C189" s="2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1"/>
      <c r="B190" s="2"/>
      <c r="C190" s="2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1"/>
      <c r="B191" s="2"/>
      <c r="C191" s="2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1"/>
      <c r="B192" s="2"/>
      <c r="C192" s="2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1"/>
      <c r="B193" s="2"/>
      <c r="C193" s="2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1"/>
      <c r="B194" s="2"/>
      <c r="C194" s="2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1"/>
      <c r="B195" s="2"/>
      <c r="C195" s="2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1"/>
      <c r="B196" s="2"/>
      <c r="C196" s="2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1"/>
      <c r="B197" s="2"/>
      <c r="C197" s="2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1"/>
      <c r="B198" s="2"/>
      <c r="C198" s="2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1"/>
      <c r="B199" s="2"/>
      <c r="C199" s="2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1"/>
      <c r="B200" s="2"/>
      <c r="C200" s="2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1"/>
      <c r="B201" s="2"/>
      <c r="C201" s="2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1"/>
      <c r="B202" s="2"/>
      <c r="C202" s="2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1"/>
      <c r="B203" s="2"/>
      <c r="C203" s="2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1"/>
      <c r="B204" s="2"/>
      <c r="C204" s="2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1"/>
      <c r="B205" s="2"/>
      <c r="C205" s="2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1"/>
      <c r="B206" s="2"/>
      <c r="C206" s="2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1"/>
      <c r="B207" s="2"/>
      <c r="C207" s="2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1"/>
      <c r="B208" s="2"/>
      <c r="C208" s="2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1"/>
      <c r="B209" s="2"/>
      <c r="C209" s="2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1"/>
      <c r="B210" s="2"/>
      <c r="C210" s="2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1"/>
      <c r="B211" s="2"/>
      <c r="C211" s="2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1"/>
      <c r="B212" s="2"/>
      <c r="C212" s="2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1"/>
      <c r="B213" s="2"/>
      <c r="C213" s="2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1"/>
      <c r="B214" s="2"/>
      <c r="C214" s="2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1"/>
      <c r="B215" s="2"/>
      <c r="C215" s="2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1"/>
      <c r="B216" s="2"/>
      <c r="C216" s="2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1"/>
      <c r="B217" s="2"/>
      <c r="C217" s="2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1"/>
      <c r="B218" s="2"/>
      <c r="C218" s="2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1"/>
      <c r="B219" s="2"/>
      <c r="C219" s="2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1"/>
      <c r="B220" s="2"/>
      <c r="C220" s="2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1"/>
      <c r="B221" s="2"/>
      <c r="C221" s="2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1"/>
      <c r="B222" s="2"/>
      <c r="C222" s="2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1"/>
      <c r="B223" s="2"/>
      <c r="C223" s="2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1"/>
      <c r="B224" s="2"/>
      <c r="C224" s="2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1"/>
      <c r="B225" s="2"/>
      <c r="C225" s="2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1"/>
      <c r="B226" s="2"/>
      <c r="C226" s="2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1"/>
      <c r="B227" s="2"/>
      <c r="C227" s="2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1"/>
      <c r="B228" s="2"/>
      <c r="C228" s="2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D6"/>
  </mergeCells>
  <printOptions/>
  <pageMargins bottom="0.7480314960629921" footer="0.0" header="0.0" left="0.7086614173228347" right="0.31496062992125984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CC"/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0.0"/>
    <col customWidth="1" min="3" max="3" width="55.29"/>
    <col customWidth="1" min="4" max="4" width="11.29"/>
    <col customWidth="1" min="5" max="5" width="10.43"/>
    <col customWidth="1" min="6" max="7" width="12.29"/>
    <col customWidth="1" min="8" max="8" width="9.29"/>
    <col customWidth="1" min="9" max="10" width="11.71"/>
    <col customWidth="1" min="11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3"/>
      <c r="J1" s="24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70</v>
      </c>
      <c r="B2" s="26"/>
      <c r="C2" s="26"/>
      <c r="D2" s="26"/>
      <c r="E2" s="26"/>
      <c r="F2" s="23"/>
      <c r="G2" s="23"/>
      <c r="H2" s="23"/>
      <c r="I2" s="23"/>
      <c r="J2" s="24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71</v>
      </c>
      <c r="B3" s="28"/>
      <c r="C3" s="28"/>
      <c r="D3" s="28"/>
      <c r="E3" s="28"/>
      <c r="F3" s="29" t="s">
        <v>72</v>
      </c>
      <c r="G3" s="23"/>
      <c r="H3" s="23"/>
      <c r="I3" s="23"/>
      <c r="J3" s="24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30" t="s">
        <v>73</v>
      </c>
      <c r="B4" s="30" t="s">
        <v>5</v>
      </c>
      <c r="C4" s="30" t="s">
        <v>74</v>
      </c>
      <c r="D4" s="31" t="s">
        <v>75</v>
      </c>
      <c r="E4" s="5"/>
      <c r="F4" s="5"/>
      <c r="G4" s="5"/>
      <c r="H4" s="5"/>
      <c r="I4" s="6"/>
      <c r="J4" s="24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2"/>
      <c r="B5" s="33"/>
      <c r="C5" s="32"/>
      <c r="D5" s="34" t="s">
        <v>76</v>
      </c>
      <c r="E5" s="35" t="s">
        <v>77</v>
      </c>
      <c r="F5" s="35" t="s">
        <v>78</v>
      </c>
      <c r="G5" s="35" t="s">
        <v>79</v>
      </c>
      <c r="H5" s="36" t="s">
        <v>80</v>
      </c>
      <c r="I5" s="35" t="s">
        <v>81</v>
      </c>
      <c r="J5" s="24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8.75" customHeight="1">
      <c r="A6" s="37"/>
      <c r="B6" s="38"/>
      <c r="C6" s="39"/>
      <c r="D6" s="40" t="s">
        <v>82</v>
      </c>
      <c r="E6" s="39"/>
      <c r="F6" s="41" t="s">
        <v>83</v>
      </c>
      <c r="G6" s="26"/>
      <c r="H6" s="42" t="s">
        <v>84</v>
      </c>
      <c r="I6" s="43" t="s">
        <v>85</v>
      </c>
      <c r="J6" s="24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44"/>
      <c r="B7" s="45"/>
      <c r="C7" s="46"/>
      <c r="D7" s="47"/>
      <c r="E7" s="46"/>
      <c r="F7" s="48" t="s">
        <v>86</v>
      </c>
      <c r="G7" s="26"/>
      <c r="H7" s="33"/>
      <c r="I7" s="32"/>
      <c r="J7" s="24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4.75" customHeight="1">
      <c r="A8" s="49" t="s">
        <v>87</v>
      </c>
      <c r="B8" s="50" t="s">
        <v>88</v>
      </c>
      <c r="C8" s="51" t="s">
        <v>89</v>
      </c>
      <c r="D8" s="52">
        <v>800.0</v>
      </c>
      <c r="E8" s="53">
        <v>800.0</v>
      </c>
      <c r="F8" s="53">
        <f t="shared" ref="F8:F10" si="1">D8-(D8*0.2)</f>
        <v>640</v>
      </c>
      <c r="G8" s="53">
        <f t="shared" ref="G8:G10" si="2">E8-(E8*0.3)</f>
        <v>560</v>
      </c>
      <c r="H8" s="54">
        <v>400.0</v>
      </c>
      <c r="I8" s="53">
        <v>300.0</v>
      </c>
      <c r="J8" s="55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30.0" customHeight="1">
      <c r="A9" s="49" t="s">
        <v>90</v>
      </c>
      <c r="B9" s="50" t="s">
        <v>91</v>
      </c>
      <c r="C9" s="51" t="s">
        <v>92</v>
      </c>
      <c r="D9" s="52">
        <v>1050.0</v>
      </c>
      <c r="E9" s="53">
        <v>1050.0</v>
      </c>
      <c r="F9" s="53">
        <f t="shared" si="1"/>
        <v>840</v>
      </c>
      <c r="G9" s="53">
        <f t="shared" si="2"/>
        <v>735</v>
      </c>
      <c r="H9" s="53">
        <v>400.0</v>
      </c>
      <c r="I9" s="53">
        <v>350.0</v>
      </c>
      <c r="J9" s="55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33.75" customHeight="1">
      <c r="A10" s="56" t="s">
        <v>93</v>
      </c>
      <c r="B10" s="50" t="s">
        <v>94</v>
      </c>
      <c r="C10" s="57" t="s">
        <v>95</v>
      </c>
      <c r="D10" s="58">
        <v>1350.0</v>
      </c>
      <c r="E10" s="53">
        <v>1350.0</v>
      </c>
      <c r="F10" s="53">
        <f t="shared" si="1"/>
        <v>1080</v>
      </c>
      <c r="G10" s="53">
        <f t="shared" si="2"/>
        <v>945</v>
      </c>
      <c r="H10" s="53">
        <v>400.0</v>
      </c>
      <c r="I10" s="53">
        <v>450.0</v>
      </c>
      <c r="J10" s="55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31" t="s">
        <v>96</v>
      </c>
      <c r="B11" s="5"/>
      <c r="C11" s="6"/>
      <c r="D11" s="59" t="s">
        <v>97</v>
      </c>
      <c r="E11" s="5"/>
      <c r="F11" s="5"/>
      <c r="G11" s="5"/>
      <c r="H11" s="5"/>
      <c r="I11" s="6"/>
      <c r="J11" s="24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60" t="s">
        <v>98</v>
      </c>
      <c r="C12" s="61"/>
      <c r="D12" s="62" t="s">
        <v>99</v>
      </c>
      <c r="E12" s="62"/>
      <c r="F12" s="62"/>
      <c r="G12" s="62"/>
      <c r="H12" s="62"/>
      <c r="I12" s="63"/>
      <c r="J12" s="24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64" t="s">
        <v>100</v>
      </c>
      <c r="B13" s="65"/>
      <c r="C13" s="66"/>
      <c r="D13" s="65" t="s">
        <v>101</v>
      </c>
      <c r="E13" s="65"/>
      <c r="F13" s="65"/>
      <c r="G13" s="65"/>
      <c r="H13" s="65"/>
      <c r="I13" s="67"/>
      <c r="J13" s="24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60" t="s">
        <v>102</v>
      </c>
      <c r="C14" s="61"/>
      <c r="D14" s="68" t="s">
        <v>103</v>
      </c>
      <c r="E14" s="65"/>
      <c r="F14" s="65"/>
      <c r="G14" s="65"/>
      <c r="H14" s="65"/>
      <c r="I14" s="67"/>
      <c r="J14" s="24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69" t="s">
        <v>104</v>
      </c>
      <c r="C15" s="61"/>
      <c r="D15" s="68" t="s">
        <v>105</v>
      </c>
      <c r="E15" s="65"/>
      <c r="F15" s="65"/>
      <c r="G15" s="65"/>
      <c r="H15" s="65"/>
      <c r="I15" s="67"/>
      <c r="J15" s="24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69" t="s">
        <v>106</v>
      </c>
      <c r="D16" s="70" t="s">
        <v>107</v>
      </c>
      <c r="E16" s="65"/>
      <c r="F16" s="65"/>
      <c r="G16" s="65"/>
      <c r="H16" s="65"/>
      <c r="I16" s="67"/>
      <c r="J16" s="24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71" t="s">
        <v>108</v>
      </c>
      <c r="B17" s="23"/>
      <c r="C17" s="72"/>
      <c r="D17" s="73" t="s">
        <v>109</v>
      </c>
      <c r="E17" s="74"/>
      <c r="F17" s="74"/>
      <c r="G17" s="74"/>
      <c r="H17" s="74"/>
      <c r="I17" s="75"/>
      <c r="J17" s="2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64" t="s">
        <v>110</v>
      </c>
      <c r="B18" s="76"/>
      <c r="C18" s="77"/>
      <c r="D18" s="68"/>
      <c r="E18" s="65"/>
      <c r="F18" s="65"/>
      <c r="G18" s="65"/>
      <c r="H18" s="65"/>
      <c r="I18" s="67"/>
      <c r="J18" s="2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64" t="s">
        <v>111</v>
      </c>
      <c r="B19" s="76"/>
      <c r="C19" s="77"/>
      <c r="D19" s="65"/>
      <c r="E19" s="65"/>
      <c r="F19" s="65"/>
      <c r="G19" s="65"/>
      <c r="H19" s="65"/>
      <c r="I19" s="67"/>
      <c r="J19" s="24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64" t="s">
        <v>112</v>
      </c>
      <c r="B20" s="65"/>
      <c r="C20" s="66"/>
      <c r="D20" s="65"/>
      <c r="E20" s="65"/>
      <c r="F20" s="65"/>
      <c r="G20" s="65"/>
      <c r="H20" s="65"/>
      <c r="I20" s="67"/>
      <c r="J20" s="24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78"/>
      <c r="B21" s="45"/>
      <c r="C21" s="46"/>
      <c r="D21" s="68"/>
      <c r="E21" s="65"/>
      <c r="F21" s="65"/>
      <c r="G21" s="65"/>
      <c r="H21" s="65"/>
      <c r="I21" s="67"/>
      <c r="J21" s="24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79" t="s">
        <v>113</v>
      </c>
      <c r="B22" s="5"/>
      <c r="C22" s="5"/>
      <c r="D22" s="80"/>
      <c r="E22" s="5"/>
      <c r="F22" s="5"/>
      <c r="G22" s="5"/>
      <c r="H22" s="5"/>
      <c r="I22" s="6"/>
      <c r="J22" s="24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2.75" customHeight="1">
      <c r="A23" s="81" t="s">
        <v>114</v>
      </c>
      <c r="B23" s="82"/>
      <c r="C23" s="82" t="s">
        <v>115</v>
      </c>
      <c r="D23" s="82" t="s">
        <v>116</v>
      </c>
      <c r="E23" s="82"/>
      <c r="F23" s="82"/>
      <c r="G23" s="83"/>
      <c r="H23" s="83"/>
      <c r="I23" s="84"/>
      <c r="J23" s="24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9.5" customHeight="1">
      <c r="A24" s="71" t="s">
        <v>117</v>
      </c>
      <c r="B24" s="23"/>
      <c r="C24" s="23" t="s">
        <v>118</v>
      </c>
      <c r="D24" s="23" t="s">
        <v>119</v>
      </c>
      <c r="E24" s="23"/>
      <c r="F24" s="23"/>
      <c r="G24" s="85" t="s">
        <v>120</v>
      </c>
      <c r="H24" s="85"/>
      <c r="I24" s="66"/>
      <c r="J24" s="24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9.5" customHeight="1">
      <c r="A25" s="86" t="s">
        <v>121</v>
      </c>
      <c r="B25" s="87"/>
      <c r="C25" s="87" t="s">
        <v>122</v>
      </c>
      <c r="D25" s="87" t="s">
        <v>119</v>
      </c>
      <c r="E25" s="23"/>
      <c r="F25" s="23"/>
      <c r="G25" s="85"/>
      <c r="H25" s="85"/>
      <c r="I25" s="66"/>
      <c r="J25" s="24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6.5" customHeight="1">
      <c r="A26" s="31" t="s">
        <v>123</v>
      </c>
      <c r="B26" s="5"/>
      <c r="C26" s="5"/>
      <c r="D26" s="5"/>
      <c r="E26" s="88" t="s">
        <v>124</v>
      </c>
      <c r="F26" s="89"/>
      <c r="G26" s="89"/>
      <c r="H26" s="89"/>
      <c r="I26" s="90"/>
      <c r="J26" s="24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ht="28.5" customHeight="1">
      <c r="A27" s="92" t="s">
        <v>125</v>
      </c>
      <c r="B27" s="93" t="s">
        <v>126</v>
      </c>
      <c r="C27" s="94" t="s">
        <v>127</v>
      </c>
      <c r="D27" s="95"/>
      <c r="E27" s="96" t="s">
        <v>128</v>
      </c>
      <c r="F27" s="5"/>
      <c r="G27" s="97"/>
      <c r="H27" s="97"/>
      <c r="I27" s="98"/>
      <c r="J27" s="24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40.5" customHeight="1">
      <c r="A28" s="99" t="s">
        <v>119</v>
      </c>
      <c r="B28" s="100" t="s">
        <v>129</v>
      </c>
      <c r="C28" s="101" t="s">
        <v>130</v>
      </c>
      <c r="D28" s="102"/>
      <c r="E28" s="103" t="s">
        <v>131</v>
      </c>
      <c r="F28" s="38"/>
      <c r="G28" s="104" t="s">
        <v>132</v>
      </c>
      <c r="H28" s="38"/>
      <c r="I28" s="39"/>
      <c r="J28" s="24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28.5" customHeight="1">
      <c r="A29" s="105" t="s">
        <v>133</v>
      </c>
      <c r="B29" s="100" t="s">
        <v>134</v>
      </c>
      <c r="C29" s="106" t="s">
        <v>135</v>
      </c>
      <c r="D29" s="107"/>
      <c r="E29" s="96" t="s">
        <v>136</v>
      </c>
      <c r="F29" s="6"/>
      <c r="G29" s="108"/>
      <c r="I29" s="61"/>
      <c r="J29" s="24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ht="40.5" customHeight="1">
      <c r="A30" s="99" t="s">
        <v>137</v>
      </c>
      <c r="B30" s="93" t="s">
        <v>138</v>
      </c>
      <c r="C30" s="109" t="s">
        <v>139</v>
      </c>
      <c r="D30" s="95"/>
      <c r="E30" s="96" t="s">
        <v>140</v>
      </c>
      <c r="F30" s="6"/>
      <c r="G30" s="44"/>
      <c r="H30" s="45"/>
      <c r="I30" s="46"/>
      <c r="J30" s="24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ht="28.5" customHeight="1">
      <c r="A31" s="92" t="s">
        <v>141</v>
      </c>
      <c r="B31" s="100" t="s">
        <v>142</v>
      </c>
      <c r="C31" s="109" t="s">
        <v>143</v>
      </c>
      <c r="D31" s="95"/>
      <c r="E31" s="96" t="s">
        <v>144</v>
      </c>
      <c r="F31" s="5"/>
      <c r="G31" s="110"/>
      <c r="H31" s="110"/>
      <c r="I31" s="98"/>
      <c r="J31" s="24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ht="28.5" customHeight="1">
      <c r="A32" s="92" t="s">
        <v>145</v>
      </c>
      <c r="B32" s="111"/>
      <c r="C32" s="94" t="s">
        <v>146</v>
      </c>
      <c r="D32" s="95"/>
      <c r="E32" s="112" t="s">
        <v>147</v>
      </c>
      <c r="F32" s="101"/>
      <c r="G32" s="101"/>
      <c r="H32" s="101"/>
      <c r="I32" s="113"/>
      <c r="J32" s="24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ht="16.5" customHeight="1">
      <c r="A33" s="31" t="s">
        <v>148</v>
      </c>
      <c r="B33" s="5"/>
      <c r="C33" s="5"/>
      <c r="D33" s="5"/>
      <c r="E33" s="114" t="s">
        <v>149</v>
      </c>
      <c r="F33" s="26"/>
      <c r="G33" s="26"/>
      <c r="H33" s="26"/>
      <c r="I33" s="115"/>
      <c r="J33" s="24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ht="12.75" customHeight="1">
      <c r="A34" s="116" t="s">
        <v>150</v>
      </c>
      <c r="B34" s="117"/>
      <c r="C34" s="91"/>
      <c r="D34" s="91"/>
      <c r="E34" s="118">
        <v>1.0</v>
      </c>
      <c r="F34" s="62" t="s">
        <v>151</v>
      </c>
      <c r="G34" s="62"/>
      <c r="H34" s="119"/>
      <c r="I34" s="120"/>
      <c r="J34" s="24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12.75" customHeight="1">
      <c r="A35" s="116" t="s">
        <v>152</v>
      </c>
      <c r="B35" s="117"/>
      <c r="C35" s="91"/>
      <c r="D35" s="91"/>
      <c r="E35" s="121">
        <v>0.5</v>
      </c>
      <c r="F35" s="122" t="s">
        <v>153</v>
      </c>
      <c r="G35" s="122"/>
      <c r="H35" s="123"/>
      <c r="I35" s="124"/>
      <c r="J35" s="24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ht="12.75" customHeight="1">
      <c r="A36" s="125" t="s">
        <v>154</v>
      </c>
      <c r="B36" s="126"/>
      <c r="C36" s="23"/>
      <c r="D36" s="23"/>
      <c r="E36" s="121">
        <v>0.0</v>
      </c>
      <c r="F36" s="122" t="s">
        <v>155</v>
      </c>
      <c r="G36" s="122"/>
      <c r="H36" s="123"/>
      <c r="I36" s="124"/>
      <c r="J36" s="24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75" customHeight="1">
      <c r="A37" s="127" t="s">
        <v>156</v>
      </c>
      <c r="B37" s="128"/>
      <c r="C37" s="23"/>
      <c r="D37" s="23"/>
      <c r="E37" s="129"/>
      <c r="F37" s="65"/>
      <c r="G37" s="65"/>
      <c r="H37" s="130"/>
      <c r="I37" s="131"/>
      <c r="J37" s="24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75" customHeight="1">
      <c r="A38" s="127" t="s">
        <v>157</v>
      </c>
      <c r="B38" s="128"/>
      <c r="C38" s="23"/>
      <c r="D38" s="23"/>
      <c r="E38" s="71"/>
      <c r="F38" s="23"/>
      <c r="G38" s="23"/>
      <c r="H38" s="23"/>
      <c r="I38" s="72"/>
      <c r="J38" s="24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127" t="s">
        <v>158</v>
      </c>
      <c r="B39" s="128"/>
      <c r="C39" s="23"/>
      <c r="D39" s="23"/>
      <c r="E39" s="71"/>
      <c r="F39" s="23"/>
      <c r="G39" s="23"/>
      <c r="H39" s="23"/>
      <c r="I39" s="72"/>
      <c r="J39" s="24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75" customHeight="1">
      <c r="A40" s="127" t="s">
        <v>159</v>
      </c>
      <c r="B40" s="128"/>
      <c r="C40" s="23"/>
      <c r="D40" s="23"/>
      <c r="E40" s="71"/>
      <c r="F40" s="23"/>
      <c r="G40" s="23"/>
      <c r="H40" s="23"/>
      <c r="I40" s="72"/>
      <c r="J40" s="24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75" customHeight="1">
      <c r="A41" s="127" t="s">
        <v>160</v>
      </c>
      <c r="B41" s="128"/>
      <c r="C41" s="23"/>
      <c r="D41" s="23"/>
      <c r="E41" s="71"/>
      <c r="F41" s="23"/>
      <c r="G41" s="23"/>
      <c r="H41" s="23"/>
      <c r="I41" s="72"/>
      <c r="J41" s="24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75" customHeight="1">
      <c r="A42" s="132" t="s">
        <v>161</v>
      </c>
      <c r="B42" s="133"/>
      <c r="C42" s="23"/>
      <c r="D42" s="23"/>
      <c r="E42" s="71"/>
      <c r="F42" s="23"/>
      <c r="G42" s="23"/>
      <c r="H42" s="23"/>
      <c r="I42" s="72"/>
      <c r="J42" s="24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75" customHeight="1">
      <c r="A43" s="125" t="s">
        <v>162</v>
      </c>
      <c r="B43" s="126"/>
      <c r="C43" s="134" t="s">
        <v>163</v>
      </c>
      <c r="D43" s="23"/>
      <c r="E43" s="71"/>
      <c r="F43" s="23"/>
      <c r="G43" s="23"/>
      <c r="H43" s="23"/>
      <c r="I43" s="72"/>
      <c r="J43" s="24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>
      <c r="A44" s="71" t="s">
        <v>164</v>
      </c>
      <c r="B44" s="23"/>
      <c r="C44" s="135" t="s">
        <v>165</v>
      </c>
      <c r="D44" s="23"/>
      <c r="E44" s="71"/>
      <c r="F44" s="23"/>
      <c r="G44" s="23"/>
      <c r="H44" s="23"/>
      <c r="I44" s="72"/>
      <c r="J44" s="24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75" customHeight="1">
      <c r="A45" s="71" t="s">
        <v>166</v>
      </c>
      <c r="B45" s="23"/>
      <c r="C45" s="135" t="s">
        <v>167</v>
      </c>
      <c r="D45" s="23"/>
      <c r="E45" s="71"/>
      <c r="F45" s="23"/>
      <c r="G45" s="23"/>
      <c r="H45" s="23"/>
      <c r="I45" s="72"/>
      <c r="J45" s="24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75" customHeight="1">
      <c r="A46" s="71" t="s">
        <v>168</v>
      </c>
      <c r="B46" s="23"/>
      <c r="C46" s="135" t="s">
        <v>169</v>
      </c>
      <c r="D46" s="23"/>
      <c r="E46" s="71"/>
      <c r="F46" s="23"/>
      <c r="G46" s="23"/>
      <c r="H46" s="23"/>
      <c r="I46" s="72"/>
      <c r="J46" s="24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>
      <c r="A47" s="71" t="s">
        <v>170</v>
      </c>
      <c r="B47" s="23"/>
      <c r="C47" s="23" t="s">
        <v>171</v>
      </c>
      <c r="D47" s="23"/>
      <c r="E47" s="71"/>
      <c r="F47" s="23"/>
      <c r="G47" s="23"/>
      <c r="H47" s="23"/>
      <c r="I47" s="72"/>
      <c r="J47" s="24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>
      <c r="A48" s="86" t="s">
        <v>172</v>
      </c>
      <c r="B48" s="87"/>
      <c r="C48" s="87" t="s">
        <v>173</v>
      </c>
      <c r="D48" s="87"/>
      <c r="E48" s="86"/>
      <c r="F48" s="87"/>
      <c r="G48" s="87"/>
      <c r="H48" s="87"/>
      <c r="I48" s="136"/>
      <c r="J48" s="24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6.5" customHeight="1">
      <c r="A49" s="31" t="s">
        <v>174</v>
      </c>
      <c r="B49" s="5"/>
      <c r="C49" s="5"/>
      <c r="D49" s="5"/>
      <c r="E49" s="5"/>
      <c r="F49" s="5"/>
      <c r="G49" s="5"/>
      <c r="H49" s="5"/>
      <c r="I49" s="6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64" t="s">
        <v>175</v>
      </c>
      <c r="B50" s="65"/>
      <c r="C50" s="65"/>
      <c r="D50" s="65"/>
      <c r="E50" s="65"/>
      <c r="F50" s="65"/>
      <c r="G50" s="65"/>
      <c r="H50" s="65"/>
      <c r="I50" s="67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2.75" customHeight="1">
      <c r="A51" s="64" t="s">
        <v>176</v>
      </c>
      <c r="B51" s="65"/>
      <c r="C51" s="65"/>
      <c r="D51" s="65"/>
      <c r="E51" s="65"/>
      <c r="F51" s="65"/>
      <c r="G51" s="65"/>
      <c r="H51" s="65"/>
      <c r="I51" s="67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64" t="s">
        <v>177</v>
      </c>
      <c r="B52" s="65"/>
      <c r="C52" s="65"/>
      <c r="D52" s="65"/>
      <c r="E52" s="65"/>
      <c r="F52" s="65"/>
      <c r="G52" s="65"/>
      <c r="H52" s="65"/>
      <c r="I52" s="67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64" t="s">
        <v>178</v>
      </c>
      <c r="B53" s="65"/>
      <c r="C53" s="65"/>
      <c r="D53" s="65"/>
      <c r="E53" s="65"/>
      <c r="F53" s="65"/>
      <c r="G53" s="65"/>
      <c r="H53" s="65"/>
      <c r="I53" s="67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60" t="s">
        <v>179</v>
      </c>
      <c r="I54" s="61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137" t="s">
        <v>180</v>
      </c>
      <c r="I55" s="61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138" t="s">
        <v>181</v>
      </c>
      <c r="B56" s="139"/>
      <c r="C56" s="65"/>
      <c r="D56" s="65"/>
      <c r="E56" s="65"/>
      <c r="F56" s="65"/>
      <c r="G56" s="65"/>
      <c r="H56" s="65"/>
      <c r="I56" s="67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64" t="s">
        <v>182</v>
      </c>
      <c r="B57" s="65"/>
      <c r="C57" s="65"/>
      <c r="D57" s="65"/>
      <c r="E57" s="65"/>
      <c r="F57" s="65"/>
      <c r="G57" s="65"/>
      <c r="H57" s="65"/>
      <c r="I57" s="67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78" t="s">
        <v>183</v>
      </c>
      <c r="B58" s="45"/>
      <c r="C58" s="45"/>
      <c r="D58" s="45"/>
      <c r="E58" s="45"/>
      <c r="F58" s="45"/>
      <c r="G58" s="45"/>
      <c r="H58" s="45"/>
      <c r="I58" s="46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4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4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4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4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3.5" customHeight="1">
      <c r="A63" s="23"/>
      <c r="B63" s="23"/>
      <c r="C63" s="23"/>
      <c r="D63" s="23"/>
      <c r="E63" s="23"/>
      <c r="F63" s="23"/>
      <c r="G63" s="23"/>
      <c r="H63" s="23"/>
      <c r="I63" s="23"/>
      <c r="J63" s="24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3.5" customHeight="1">
      <c r="A64" s="23"/>
      <c r="B64" s="23"/>
      <c r="C64" s="23"/>
      <c r="D64" s="23"/>
      <c r="E64" s="23"/>
      <c r="F64" s="23"/>
      <c r="G64" s="23"/>
      <c r="H64" s="23"/>
      <c r="I64" s="23"/>
      <c r="J64" s="24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3.5" customHeight="1">
      <c r="A65" s="23"/>
      <c r="B65" s="23"/>
      <c r="C65" s="23"/>
      <c r="D65" s="23"/>
      <c r="E65" s="23"/>
      <c r="F65" s="23"/>
      <c r="G65" s="23"/>
      <c r="H65" s="23"/>
      <c r="I65" s="23"/>
      <c r="J65" s="24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3.5" customHeight="1">
      <c r="A66" s="23"/>
      <c r="B66" s="23"/>
      <c r="C66" s="23"/>
      <c r="D66" s="23"/>
      <c r="E66" s="23"/>
      <c r="F66" s="23"/>
      <c r="G66" s="23"/>
      <c r="H66" s="23"/>
      <c r="I66" s="23"/>
      <c r="J66" s="24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3.5" customHeight="1">
      <c r="A67" s="23"/>
      <c r="B67" s="23"/>
      <c r="C67" s="23"/>
      <c r="D67" s="23"/>
      <c r="E67" s="23"/>
      <c r="F67" s="23"/>
      <c r="G67" s="23"/>
      <c r="H67" s="23"/>
      <c r="I67" s="23"/>
      <c r="J67" s="24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3.5" customHeight="1">
      <c r="A68" s="23"/>
      <c r="B68" s="23"/>
      <c r="C68" s="23"/>
      <c r="D68" s="23"/>
      <c r="E68" s="23"/>
      <c r="F68" s="23"/>
      <c r="G68" s="23"/>
      <c r="H68" s="23"/>
      <c r="I68" s="23"/>
      <c r="J68" s="24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3.5" customHeight="1">
      <c r="A69" s="23"/>
      <c r="B69" s="23"/>
      <c r="C69" s="23"/>
      <c r="D69" s="23"/>
      <c r="E69" s="23"/>
      <c r="F69" s="23"/>
      <c r="G69" s="23"/>
      <c r="H69" s="23"/>
      <c r="I69" s="23"/>
      <c r="J69" s="24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3.5" customHeight="1">
      <c r="A70" s="23"/>
      <c r="B70" s="23"/>
      <c r="C70" s="23"/>
      <c r="D70" s="23"/>
      <c r="E70" s="23"/>
      <c r="F70" s="23"/>
      <c r="G70" s="23"/>
      <c r="H70" s="23"/>
      <c r="I70" s="23"/>
      <c r="J70" s="24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3.5" customHeight="1">
      <c r="A71" s="23"/>
      <c r="B71" s="23"/>
      <c r="C71" s="23"/>
      <c r="D71" s="23"/>
      <c r="E71" s="23"/>
      <c r="F71" s="23"/>
      <c r="G71" s="23"/>
      <c r="H71" s="23"/>
      <c r="I71" s="23"/>
      <c r="J71" s="24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3"/>
      <c r="J72" s="24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3"/>
      <c r="J73" s="24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3"/>
      <c r="J74" s="24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3"/>
      <c r="J75" s="24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3"/>
      <c r="J76" s="24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3"/>
      <c r="J77" s="24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3"/>
      <c r="J78" s="24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3"/>
      <c r="J79" s="24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3"/>
      <c r="J80" s="24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3"/>
      <c r="J81" s="24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3"/>
      <c r="J82" s="24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3"/>
      <c r="J83" s="24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3"/>
      <c r="J84" s="24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4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3"/>
      <c r="J86" s="24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3"/>
      <c r="J87" s="24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3"/>
      <c r="J88" s="24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3"/>
      <c r="J89" s="24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3"/>
      <c r="J90" s="24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3"/>
      <c r="J91" s="24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3"/>
      <c r="J92" s="24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3"/>
      <c r="J93" s="24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3"/>
      <c r="J94" s="24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3"/>
      <c r="J95" s="24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3"/>
      <c r="J96" s="24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3"/>
      <c r="J97" s="24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3"/>
      <c r="J98" s="24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3"/>
      <c r="J99" s="24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4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4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4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4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4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4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4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4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4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4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4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4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4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4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4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4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4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4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4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4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4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4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4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4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4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4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4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4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4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4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4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4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4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4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4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4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4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4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4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4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4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4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4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4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4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4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4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4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4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4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4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4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4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4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4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4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4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4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4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4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4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4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4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4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4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4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4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4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4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4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4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4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4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4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4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4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4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4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4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4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4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4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4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4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4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4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4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4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4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4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4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4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4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4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4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4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4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4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4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4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4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4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4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4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4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4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4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4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4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4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4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4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4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4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4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4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4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4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4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4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4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4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4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4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4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4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4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4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4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4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4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4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4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4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4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4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4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4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4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4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4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4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4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4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4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4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4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4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4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4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4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4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4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4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4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4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4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4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4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H6:H7"/>
    <mergeCell ref="I6:I7"/>
    <mergeCell ref="A2:E2"/>
    <mergeCell ref="A3:E3"/>
    <mergeCell ref="A4:A5"/>
    <mergeCell ref="B4:B5"/>
    <mergeCell ref="C4:C5"/>
    <mergeCell ref="D4:I4"/>
    <mergeCell ref="A6:C7"/>
    <mergeCell ref="D6:E7"/>
    <mergeCell ref="F6:G6"/>
    <mergeCell ref="F7:G7"/>
    <mergeCell ref="A11:C11"/>
    <mergeCell ref="D11:I11"/>
    <mergeCell ref="A12:C12"/>
    <mergeCell ref="A14:C14"/>
    <mergeCell ref="A15:C15"/>
    <mergeCell ref="A16:C16"/>
    <mergeCell ref="A21:C21"/>
    <mergeCell ref="A22:C22"/>
    <mergeCell ref="D22:I22"/>
    <mergeCell ref="A26:D26"/>
    <mergeCell ref="E26:I26"/>
    <mergeCell ref="E33:I33"/>
    <mergeCell ref="A49:I49"/>
    <mergeCell ref="A54:I54"/>
    <mergeCell ref="A55:I55"/>
    <mergeCell ref="A58:I58"/>
    <mergeCell ref="E27:F27"/>
    <mergeCell ref="E28:F28"/>
    <mergeCell ref="G28:I30"/>
    <mergeCell ref="E29:F29"/>
    <mergeCell ref="E30:F30"/>
    <mergeCell ref="E31:F31"/>
    <mergeCell ref="A33:D33"/>
  </mergeCells>
  <printOptions/>
  <pageMargins bottom="0.0" footer="0.0" header="0.0" left="0.11811023622047245" right="0.0" top="0.196850393700787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CC"/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9.57"/>
    <col customWidth="1" min="3" max="3" width="55.29"/>
    <col customWidth="1" min="4" max="4" width="11.29"/>
    <col customWidth="1" min="5" max="5" width="10.43"/>
    <col customWidth="1" min="6" max="7" width="12.29"/>
    <col customWidth="1" min="8" max="8" width="7.71"/>
    <col customWidth="1" min="9" max="10" width="11.71"/>
    <col customWidth="1" min="11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3"/>
      <c r="J1" s="24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184</v>
      </c>
      <c r="B2" s="26"/>
      <c r="C2" s="26"/>
      <c r="D2" s="26"/>
      <c r="E2" s="26"/>
      <c r="F2" s="23"/>
      <c r="G2" s="23"/>
      <c r="H2" s="23"/>
      <c r="I2" s="23"/>
      <c r="J2" s="24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71</v>
      </c>
      <c r="B3" s="28"/>
      <c r="C3" s="28"/>
      <c r="D3" s="28"/>
      <c r="E3" s="28"/>
      <c r="F3" s="29" t="s">
        <v>72</v>
      </c>
      <c r="G3" s="23"/>
      <c r="H3" s="23"/>
      <c r="I3" s="23"/>
      <c r="J3" s="24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30" t="s">
        <v>73</v>
      </c>
      <c r="B4" s="30" t="s">
        <v>5</v>
      </c>
      <c r="C4" s="30" t="s">
        <v>74</v>
      </c>
      <c r="D4" s="31" t="s">
        <v>185</v>
      </c>
      <c r="E4" s="5"/>
      <c r="F4" s="5"/>
      <c r="G4" s="5"/>
      <c r="H4" s="5"/>
      <c r="I4" s="6"/>
      <c r="J4" s="24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2"/>
      <c r="B5" s="33"/>
      <c r="C5" s="32"/>
      <c r="D5" s="34" t="s">
        <v>76</v>
      </c>
      <c r="E5" s="35" t="s">
        <v>77</v>
      </c>
      <c r="F5" s="35" t="s">
        <v>78</v>
      </c>
      <c r="G5" s="35" t="s">
        <v>79</v>
      </c>
      <c r="H5" s="35" t="s">
        <v>80</v>
      </c>
      <c r="I5" s="35" t="s">
        <v>81</v>
      </c>
      <c r="J5" s="24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8.75" customHeight="1">
      <c r="A6" s="140"/>
      <c r="B6" s="140"/>
      <c r="C6" s="141"/>
      <c r="D6" s="40" t="s">
        <v>82</v>
      </c>
      <c r="E6" s="39"/>
      <c r="F6" s="41" t="s">
        <v>83</v>
      </c>
      <c r="G6" s="26"/>
      <c r="H6" s="142" t="s">
        <v>186</v>
      </c>
      <c r="I6" s="43" t="s">
        <v>85</v>
      </c>
      <c r="J6" s="24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44"/>
      <c r="B7" s="44"/>
      <c r="C7" s="46"/>
      <c r="D7" s="47"/>
      <c r="E7" s="46"/>
      <c r="F7" s="48" t="s">
        <v>86</v>
      </c>
      <c r="G7" s="26"/>
      <c r="H7" s="32"/>
      <c r="I7" s="32"/>
      <c r="J7" s="24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7.0" customHeight="1">
      <c r="A8" s="49" t="s">
        <v>87</v>
      </c>
      <c r="B8" s="50" t="s">
        <v>187</v>
      </c>
      <c r="C8" s="51" t="s">
        <v>188</v>
      </c>
      <c r="D8" s="52">
        <v>950.0</v>
      </c>
      <c r="E8" s="53">
        <v>950.0</v>
      </c>
      <c r="F8" s="53">
        <v>850.0</v>
      </c>
      <c r="G8" s="53">
        <v>750.0</v>
      </c>
      <c r="H8" s="53">
        <v>400.0</v>
      </c>
      <c r="I8" s="53">
        <v>300.0</v>
      </c>
      <c r="J8" s="55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30.0" customHeight="1">
      <c r="A9" s="49" t="s">
        <v>90</v>
      </c>
      <c r="B9" s="50" t="s">
        <v>189</v>
      </c>
      <c r="C9" s="51" t="s">
        <v>92</v>
      </c>
      <c r="D9" s="52">
        <v>1200.0</v>
      </c>
      <c r="E9" s="53">
        <v>1200.0</v>
      </c>
      <c r="F9" s="53">
        <v>1170.0</v>
      </c>
      <c r="G9" s="53">
        <v>1030.0</v>
      </c>
      <c r="H9" s="53">
        <v>400.0</v>
      </c>
      <c r="I9" s="53">
        <v>350.0</v>
      </c>
      <c r="J9" s="55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34.5" customHeight="1">
      <c r="A10" s="56" t="s">
        <v>93</v>
      </c>
      <c r="B10" s="50" t="s">
        <v>190</v>
      </c>
      <c r="C10" s="57" t="s">
        <v>95</v>
      </c>
      <c r="D10" s="58">
        <v>1500.0</v>
      </c>
      <c r="E10" s="53">
        <v>1500.0</v>
      </c>
      <c r="F10" s="53">
        <v>1450.0</v>
      </c>
      <c r="G10" s="53">
        <v>1275.0</v>
      </c>
      <c r="H10" s="53">
        <v>400.0</v>
      </c>
      <c r="I10" s="53">
        <v>450.0</v>
      </c>
      <c r="J10" s="55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31" t="s">
        <v>96</v>
      </c>
      <c r="B11" s="5"/>
      <c r="C11" s="6"/>
      <c r="D11" s="59" t="s">
        <v>97</v>
      </c>
      <c r="E11" s="5"/>
      <c r="F11" s="5"/>
      <c r="G11" s="5"/>
      <c r="H11" s="5"/>
      <c r="I11" s="6"/>
      <c r="J11" s="24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60" t="s">
        <v>98</v>
      </c>
      <c r="C12" s="61"/>
      <c r="D12" s="62" t="s">
        <v>99</v>
      </c>
      <c r="E12" s="62"/>
      <c r="F12" s="62"/>
      <c r="G12" s="62"/>
      <c r="H12" s="62"/>
      <c r="I12" s="63"/>
      <c r="J12" s="24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64" t="s">
        <v>191</v>
      </c>
      <c r="B13" s="65"/>
      <c r="C13" s="66"/>
      <c r="D13" s="65" t="s">
        <v>101</v>
      </c>
      <c r="E13" s="65"/>
      <c r="F13" s="65"/>
      <c r="G13" s="65"/>
      <c r="H13" s="65"/>
      <c r="I13" s="67"/>
      <c r="J13" s="24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60" t="s">
        <v>102</v>
      </c>
      <c r="C14" s="61"/>
      <c r="D14" s="68" t="s">
        <v>103</v>
      </c>
      <c r="E14" s="65"/>
      <c r="F14" s="65"/>
      <c r="G14" s="65"/>
      <c r="H14" s="65"/>
      <c r="I14" s="67"/>
      <c r="J14" s="24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69" t="s">
        <v>104</v>
      </c>
      <c r="C15" s="61"/>
      <c r="D15" s="68" t="s">
        <v>105</v>
      </c>
      <c r="E15" s="65"/>
      <c r="F15" s="65"/>
      <c r="G15" s="65"/>
      <c r="H15" s="65"/>
      <c r="I15" s="67"/>
      <c r="J15" s="24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69" t="s">
        <v>106</v>
      </c>
      <c r="D16" s="70" t="s">
        <v>107</v>
      </c>
      <c r="E16" s="65"/>
      <c r="F16" s="65"/>
      <c r="G16" s="65"/>
      <c r="H16" s="65"/>
      <c r="I16" s="67"/>
      <c r="J16" s="24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71" t="s">
        <v>108</v>
      </c>
      <c r="B17" s="23"/>
      <c r="C17" s="72"/>
      <c r="D17" s="73" t="s">
        <v>109</v>
      </c>
      <c r="E17" s="74"/>
      <c r="F17" s="74"/>
      <c r="G17" s="74"/>
      <c r="H17" s="74"/>
      <c r="I17" s="75"/>
      <c r="J17" s="2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64" t="s">
        <v>192</v>
      </c>
      <c r="B18" s="76"/>
      <c r="C18" s="77"/>
      <c r="D18" s="68"/>
      <c r="E18" s="65"/>
      <c r="F18" s="65"/>
      <c r="G18" s="65"/>
      <c r="H18" s="65"/>
      <c r="I18" s="67"/>
      <c r="J18" s="2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64" t="s">
        <v>111</v>
      </c>
      <c r="B19" s="76"/>
      <c r="C19" s="77"/>
      <c r="D19" s="65"/>
      <c r="E19" s="65"/>
      <c r="F19" s="65"/>
      <c r="G19" s="65"/>
      <c r="H19" s="65"/>
      <c r="I19" s="67"/>
      <c r="J19" s="24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64" t="s">
        <v>112</v>
      </c>
      <c r="B20" s="65"/>
      <c r="C20" s="66"/>
      <c r="D20" s="65"/>
      <c r="E20" s="65"/>
      <c r="F20" s="65"/>
      <c r="G20" s="65"/>
      <c r="H20" s="65"/>
      <c r="I20" s="67"/>
      <c r="J20" s="24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78"/>
      <c r="B21" s="45"/>
      <c r="C21" s="46"/>
      <c r="D21" s="68"/>
      <c r="E21" s="65"/>
      <c r="F21" s="65"/>
      <c r="G21" s="65"/>
      <c r="H21" s="65"/>
      <c r="I21" s="67"/>
      <c r="J21" s="24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6.5" customHeight="1">
      <c r="A22" s="79" t="s">
        <v>193</v>
      </c>
      <c r="B22" s="5"/>
      <c r="C22" s="5"/>
      <c r="D22" s="143"/>
      <c r="E22" s="5"/>
      <c r="F22" s="5"/>
      <c r="G22" s="5"/>
      <c r="H22" s="5"/>
      <c r="I22" s="6"/>
      <c r="J22" s="24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3.5" customHeight="1">
      <c r="A23" s="81" t="s">
        <v>114</v>
      </c>
      <c r="B23" s="82"/>
      <c r="C23" s="82" t="s">
        <v>115</v>
      </c>
      <c r="D23" s="82" t="s">
        <v>116</v>
      </c>
      <c r="E23" s="82"/>
      <c r="F23" s="82"/>
      <c r="G23" s="83"/>
      <c r="H23" s="83"/>
      <c r="I23" s="84"/>
      <c r="J23" s="24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3.5" customHeight="1">
      <c r="A24" s="71" t="s">
        <v>117</v>
      </c>
      <c r="B24" s="23"/>
      <c r="C24" s="23" t="s">
        <v>118</v>
      </c>
      <c r="D24" s="23" t="s">
        <v>119</v>
      </c>
      <c r="E24" s="23"/>
      <c r="F24" s="23"/>
      <c r="G24" s="85"/>
      <c r="H24" s="85"/>
      <c r="I24" s="66"/>
      <c r="J24" s="24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3.5" customHeight="1">
      <c r="A25" s="71" t="s">
        <v>121</v>
      </c>
      <c r="B25" s="23"/>
      <c r="C25" s="23" t="s">
        <v>118</v>
      </c>
      <c r="D25" s="23" t="s">
        <v>119</v>
      </c>
      <c r="E25" s="23"/>
      <c r="F25" s="23"/>
      <c r="G25" s="85"/>
      <c r="H25" s="85"/>
      <c r="I25" s="66"/>
      <c r="J25" s="24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3.5" customHeight="1">
      <c r="A26" s="86" t="s">
        <v>194</v>
      </c>
      <c r="B26" s="87"/>
      <c r="C26" s="87" t="s">
        <v>122</v>
      </c>
      <c r="D26" s="87" t="s">
        <v>119</v>
      </c>
      <c r="E26" s="23"/>
      <c r="F26" s="23"/>
      <c r="G26" s="85"/>
      <c r="H26" s="85"/>
      <c r="I26" s="66"/>
      <c r="J26" s="24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6.5" customHeight="1">
      <c r="A27" s="31" t="s">
        <v>195</v>
      </c>
      <c r="B27" s="5"/>
      <c r="C27" s="5"/>
      <c r="D27" s="5"/>
      <c r="E27" s="88" t="s">
        <v>124</v>
      </c>
      <c r="F27" s="89"/>
      <c r="G27" s="89"/>
      <c r="H27" s="89"/>
      <c r="I27" s="90"/>
      <c r="J27" s="24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28.5" customHeight="1">
      <c r="A28" s="92" t="s">
        <v>125</v>
      </c>
      <c r="B28" s="93" t="s">
        <v>126</v>
      </c>
      <c r="C28" s="94" t="s">
        <v>196</v>
      </c>
      <c r="D28" s="95"/>
      <c r="E28" s="96" t="s">
        <v>128</v>
      </c>
      <c r="F28" s="5"/>
      <c r="G28" s="97"/>
      <c r="H28" s="97"/>
      <c r="I28" s="98"/>
      <c r="J28" s="24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40.5" customHeight="1">
      <c r="A29" s="99" t="s">
        <v>119</v>
      </c>
      <c r="B29" s="100" t="s">
        <v>129</v>
      </c>
      <c r="C29" s="101" t="s">
        <v>130</v>
      </c>
      <c r="D29" s="102"/>
      <c r="E29" s="96" t="s">
        <v>131</v>
      </c>
      <c r="F29" s="6"/>
      <c r="G29" s="104" t="s">
        <v>132</v>
      </c>
      <c r="H29" s="38"/>
      <c r="I29" s="39"/>
      <c r="J29" s="24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ht="28.5" customHeight="1">
      <c r="A30" s="105" t="s">
        <v>133</v>
      </c>
      <c r="B30" s="100" t="s">
        <v>134</v>
      </c>
      <c r="C30" s="106" t="s">
        <v>135</v>
      </c>
      <c r="D30" s="107"/>
      <c r="E30" s="144" t="s">
        <v>136</v>
      </c>
      <c r="G30" s="108"/>
      <c r="I30" s="61"/>
      <c r="J30" s="24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ht="40.5" customHeight="1">
      <c r="A31" s="99" t="s">
        <v>137</v>
      </c>
      <c r="B31" s="93" t="s">
        <v>138</v>
      </c>
      <c r="C31" s="109" t="s">
        <v>139</v>
      </c>
      <c r="D31" s="95"/>
      <c r="E31" s="96" t="s">
        <v>140</v>
      </c>
      <c r="F31" s="6"/>
      <c r="G31" s="44"/>
      <c r="H31" s="45"/>
      <c r="I31" s="46"/>
      <c r="J31" s="24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ht="28.5" customHeight="1">
      <c r="A32" s="92" t="s">
        <v>141</v>
      </c>
      <c r="B32" s="100" t="s">
        <v>142</v>
      </c>
      <c r="C32" s="109" t="s">
        <v>143</v>
      </c>
      <c r="D32" s="95"/>
      <c r="E32" s="96" t="s">
        <v>144</v>
      </c>
      <c r="F32" s="5"/>
      <c r="G32" s="110"/>
      <c r="H32" s="110"/>
      <c r="I32" s="98"/>
      <c r="J32" s="24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ht="28.5" customHeight="1">
      <c r="A33" s="92" t="s">
        <v>145</v>
      </c>
      <c r="B33" s="111"/>
      <c r="C33" s="94" t="s">
        <v>146</v>
      </c>
      <c r="D33" s="95"/>
      <c r="E33" s="112" t="s">
        <v>147</v>
      </c>
      <c r="F33" s="101"/>
      <c r="G33" s="101"/>
      <c r="H33" s="101"/>
      <c r="I33" s="113"/>
      <c r="J33" s="24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ht="16.5" customHeight="1">
      <c r="A34" s="31" t="s">
        <v>148</v>
      </c>
      <c r="B34" s="5"/>
      <c r="C34" s="5"/>
      <c r="D34" s="5"/>
      <c r="E34" s="114" t="s">
        <v>149</v>
      </c>
      <c r="F34" s="26"/>
      <c r="G34" s="26"/>
      <c r="H34" s="26"/>
      <c r="I34" s="115"/>
      <c r="J34" s="24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12.75" customHeight="1">
      <c r="A35" s="116" t="s">
        <v>197</v>
      </c>
      <c r="B35" s="117"/>
      <c r="C35" s="91"/>
      <c r="D35" s="91"/>
      <c r="E35" s="118">
        <v>1.0</v>
      </c>
      <c r="F35" s="62" t="s">
        <v>151</v>
      </c>
      <c r="G35" s="62"/>
      <c r="H35" s="119"/>
      <c r="I35" s="120"/>
      <c r="J35" s="24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ht="12.75" customHeight="1">
      <c r="A36" s="116" t="s">
        <v>198</v>
      </c>
      <c r="B36" s="117"/>
      <c r="C36" s="91"/>
      <c r="D36" s="91"/>
      <c r="E36" s="121">
        <v>0.5</v>
      </c>
      <c r="F36" s="122" t="s">
        <v>153</v>
      </c>
      <c r="G36" s="122"/>
      <c r="H36" s="123"/>
      <c r="I36" s="124"/>
      <c r="J36" s="24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ht="12.75" customHeight="1">
      <c r="A37" s="125" t="s">
        <v>199</v>
      </c>
      <c r="B37" s="126"/>
      <c r="C37" s="23"/>
      <c r="D37" s="23"/>
      <c r="E37" s="121">
        <v>0.0</v>
      </c>
      <c r="F37" s="122" t="s">
        <v>155</v>
      </c>
      <c r="G37" s="122"/>
      <c r="H37" s="123"/>
      <c r="I37" s="124"/>
      <c r="J37" s="24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75" customHeight="1">
      <c r="A38" s="127" t="s">
        <v>200</v>
      </c>
      <c r="B38" s="128"/>
      <c r="C38" s="23"/>
      <c r="D38" s="23"/>
      <c r="E38" s="129"/>
      <c r="F38" s="65"/>
      <c r="G38" s="65"/>
      <c r="H38" s="130"/>
      <c r="I38" s="131"/>
      <c r="J38" s="24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127" t="s">
        <v>201</v>
      </c>
      <c r="B39" s="128"/>
      <c r="C39" s="23"/>
      <c r="D39" s="23"/>
      <c r="E39" s="71"/>
      <c r="F39" s="23"/>
      <c r="G39" s="23"/>
      <c r="H39" s="23"/>
      <c r="I39" s="72"/>
      <c r="J39" s="24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75" customHeight="1">
      <c r="A40" s="127" t="s">
        <v>202</v>
      </c>
      <c r="B40" s="128"/>
      <c r="C40" s="23"/>
      <c r="D40" s="23"/>
      <c r="E40" s="71"/>
      <c r="F40" s="23"/>
      <c r="G40" s="23"/>
      <c r="H40" s="23"/>
      <c r="I40" s="72"/>
      <c r="J40" s="24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75" customHeight="1">
      <c r="A41" s="127" t="s">
        <v>203</v>
      </c>
      <c r="B41" s="128"/>
      <c r="C41" s="23"/>
      <c r="D41" s="23"/>
      <c r="E41" s="71"/>
      <c r="F41" s="23"/>
      <c r="G41" s="23"/>
      <c r="H41" s="23"/>
      <c r="I41" s="72"/>
      <c r="J41" s="24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75" customHeight="1">
      <c r="A42" s="127" t="s">
        <v>204</v>
      </c>
      <c r="B42" s="128"/>
      <c r="C42" s="23"/>
      <c r="D42" s="23"/>
      <c r="E42" s="71"/>
      <c r="F42" s="23"/>
      <c r="G42" s="23"/>
      <c r="H42" s="23"/>
      <c r="I42" s="72"/>
      <c r="J42" s="24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75" customHeight="1">
      <c r="A43" s="132" t="s">
        <v>161</v>
      </c>
      <c r="B43" s="133"/>
      <c r="C43" s="23"/>
      <c r="D43" s="23"/>
      <c r="E43" s="71"/>
      <c r="F43" s="23"/>
      <c r="G43" s="23"/>
      <c r="H43" s="23"/>
      <c r="I43" s="72"/>
      <c r="J43" s="24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>
      <c r="A44" s="125" t="s">
        <v>205</v>
      </c>
      <c r="B44" s="126"/>
      <c r="C44" s="134" t="s">
        <v>163</v>
      </c>
      <c r="D44" s="23"/>
      <c r="E44" s="71"/>
      <c r="F44" s="23"/>
      <c r="G44" s="23"/>
      <c r="H44" s="23"/>
      <c r="I44" s="72"/>
      <c r="J44" s="24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75" customHeight="1">
      <c r="A45" s="71" t="s">
        <v>164</v>
      </c>
      <c r="B45" s="23"/>
      <c r="C45" s="135" t="s">
        <v>165</v>
      </c>
      <c r="D45" s="23"/>
      <c r="E45" s="71"/>
      <c r="F45" s="23"/>
      <c r="G45" s="23"/>
      <c r="H45" s="23"/>
      <c r="I45" s="72"/>
      <c r="J45" s="24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75" customHeight="1">
      <c r="A46" s="71" t="s">
        <v>166</v>
      </c>
      <c r="B46" s="23"/>
      <c r="C46" s="135" t="s">
        <v>167</v>
      </c>
      <c r="D46" s="23"/>
      <c r="E46" s="71"/>
      <c r="F46" s="23"/>
      <c r="G46" s="23"/>
      <c r="H46" s="23"/>
      <c r="I46" s="72"/>
      <c r="J46" s="24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>
      <c r="A47" s="71" t="s">
        <v>168</v>
      </c>
      <c r="B47" s="23"/>
      <c r="C47" s="135" t="s">
        <v>169</v>
      </c>
      <c r="D47" s="23"/>
      <c r="E47" s="71"/>
      <c r="F47" s="23"/>
      <c r="G47" s="23"/>
      <c r="H47" s="23"/>
      <c r="I47" s="72"/>
      <c r="J47" s="24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>
      <c r="A48" s="71" t="s">
        <v>170</v>
      </c>
      <c r="B48" s="23"/>
      <c r="C48" s="23" t="s">
        <v>171</v>
      </c>
      <c r="D48" s="23"/>
      <c r="E48" s="71"/>
      <c r="F48" s="23"/>
      <c r="G48" s="23"/>
      <c r="H48" s="23"/>
      <c r="I48" s="72"/>
      <c r="J48" s="24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75" customHeight="1">
      <c r="A49" s="86" t="s">
        <v>172</v>
      </c>
      <c r="B49" s="87"/>
      <c r="C49" s="87" t="s">
        <v>173</v>
      </c>
      <c r="D49" s="87"/>
      <c r="E49" s="86"/>
      <c r="F49" s="87"/>
      <c r="G49" s="87"/>
      <c r="H49" s="87"/>
      <c r="I49" s="136"/>
      <c r="J49" s="24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6.5" customHeight="1">
      <c r="A50" s="31" t="s">
        <v>174</v>
      </c>
      <c r="B50" s="5"/>
      <c r="C50" s="5"/>
      <c r="D50" s="5"/>
      <c r="E50" s="5"/>
      <c r="F50" s="5"/>
      <c r="G50" s="5"/>
      <c r="H50" s="5"/>
      <c r="I50" s="6"/>
      <c r="J50" s="24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75" customHeight="1">
      <c r="A51" s="64" t="s">
        <v>175</v>
      </c>
      <c r="B51" s="65"/>
      <c r="C51" s="65"/>
      <c r="D51" s="65"/>
      <c r="E51" s="65"/>
      <c r="F51" s="65"/>
      <c r="G51" s="65"/>
      <c r="H51" s="65"/>
      <c r="I51" s="67"/>
      <c r="J51" s="24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75" customHeight="1">
      <c r="A52" s="64" t="s">
        <v>176</v>
      </c>
      <c r="B52" s="65"/>
      <c r="C52" s="65"/>
      <c r="D52" s="65"/>
      <c r="E52" s="65"/>
      <c r="F52" s="65"/>
      <c r="G52" s="65"/>
      <c r="H52" s="65"/>
      <c r="I52" s="67"/>
      <c r="J52" s="24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75" customHeight="1">
      <c r="A53" s="64" t="s">
        <v>177</v>
      </c>
      <c r="B53" s="65"/>
      <c r="C53" s="65"/>
      <c r="D53" s="65"/>
      <c r="E53" s="65"/>
      <c r="F53" s="65"/>
      <c r="G53" s="65"/>
      <c r="H53" s="65"/>
      <c r="I53" s="67"/>
      <c r="J53" s="24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75" customHeight="1">
      <c r="A54" s="64" t="s">
        <v>206</v>
      </c>
      <c r="B54" s="65"/>
      <c r="C54" s="65"/>
      <c r="D54" s="65"/>
      <c r="E54" s="65"/>
      <c r="F54" s="65"/>
      <c r="G54" s="65"/>
      <c r="H54" s="65"/>
      <c r="I54" s="67"/>
      <c r="J54" s="24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>
      <c r="A55" s="60" t="s">
        <v>179</v>
      </c>
      <c r="I55" s="61"/>
      <c r="J55" s="24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>
      <c r="A56" s="137" t="s">
        <v>180</v>
      </c>
      <c r="I56" s="61"/>
      <c r="J56" s="24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138" t="s">
        <v>181</v>
      </c>
      <c r="B57" s="139"/>
      <c r="C57" s="65"/>
      <c r="D57" s="65"/>
      <c r="E57" s="65"/>
      <c r="F57" s="65"/>
      <c r="G57" s="65"/>
      <c r="H57" s="65"/>
      <c r="I57" s="67"/>
      <c r="J57" s="24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64" t="s">
        <v>182</v>
      </c>
      <c r="B58" s="65"/>
      <c r="C58" s="65"/>
      <c r="D58" s="65"/>
      <c r="E58" s="65"/>
      <c r="F58" s="65"/>
      <c r="G58" s="65"/>
      <c r="H58" s="65"/>
      <c r="I58" s="67"/>
      <c r="J58" s="24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78" t="s">
        <v>207</v>
      </c>
      <c r="B59" s="45"/>
      <c r="C59" s="45"/>
      <c r="D59" s="45"/>
      <c r="E59" s="45"/>
      <c r="F59" s="45"/>
      <c r="G59" s="45"/>
      <c r="H59" s="45"/>
      <c r="I59" s="46"/>
      <c r="J59" s="24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4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3.5" customHeight="1">
      <c r="A61" s="23"/>
      <c r="B61" s="23"/>
      <c r="C61" s="23"/>
      <c r="D61" s="23"/>
      <c r="E61" s="23"/>
      <c r="F61" s="23"/>
      <c r="G61" s="23"/>
      <c r="H61" s="23"/>
      <c r="I61" s="23"/>
      <c r="J61" s="24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3.5" customHeight="1">
      <c r="A62" s="23"/>
      <c r="B62" s="23"/>
      <c r="C62" s="23"/>
      <c r="D62" s="23"/>
      <c r="E62" s="23"/>
      <c r="F62" s="23"/>
      <c r="G62" s="23"/>
      <c r="H62" s="23"/>
      <c r="I62" s="23"/>
      <c r="J62" s="24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3.5" customHeight="1">
      <c r="A63" s="23"/>
      <c r="B63" s="23"/>
      <c r="C63" s="23"/>
      <c r="D63" s="23"/>
      <c r="E63" s="23"/>
      <c r="F63" s="23"/>
      <c r="G63" s="23"/>
      <c r="H63" s="23"/>
      <c r="I63" s="23"/>
      <c r="J63" s="24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3.5" customHeight="1">
      <c r="A64" s="23"/>
      <c r="B64" s="23"/>
      <c r="C64" s="23"/>
      <c r="D64" s="23"/>
      <c r="E64" s="23"/>
      <c r="F64" s="23"/>
      <c r="G64" s="23"/>
      <c r="H64" s="23"/>
      <c r="I64" s="23"/>
      <c r="J64" s="24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3.5" customHeight="1">
      <c r="A65" s="23"/>
      <c r="B65" s="23"/>
      <c r="C65" s="23"/>
      <c r="D65" s="23"/>
      <c r="E65" s="23"/>
      <c r="F65" s="23"/>
      <c r="G65" s="23"/>
      <c r="H65" s="23"/>
      <c r="I65" s="23"/>
      <c r="J65" s="24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3.5" customHeight="1">
      <c r="A66" s="23"/>
      <c r="B66" s="23"/>
      <c r="C66" s="23"/>
      <c r="D66" s="23"/>
      <c r="E66" s="23"/>
      <c r="F66" s="23"/>
      <c r="G66" s="23"/>
      <c r="H66" s="23"/>
      <c r="I66" s="23"/>
      <c r="J66" s="24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3.5" customHeight="1">
      <c r="A67" s="23"/>
      <c r="B67" s="23"/>
      <c r="C67" s="23"/>
      <c r="D67" s="23"/>
      <c r="E67" s="23"/>
      <c r="F67" s="23"/>
      <c r="G67" s="23"/>
      <c r="H67" s="23"/>
      <c r="I67" s="23"/>
      <c r="J67" s="24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3.5" customHeight="1">
      <c r="A68" s="23"/>
      <c r="B68" s="23"/>
      <c r="C68" s="23"/>
      <c r="D68" s="23"/>
      <c r="E68" s="23"/>
      <c r="F68" s="23"/>
      <c r="G68" s="23"/>
      <c r="H68" s="23"/>
      <c r="I68" s="23"/>
      <c r="J68" s="24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3.5" customHeight="1">
      <c r="A69" s="23"/>
      <c r="B69" s="23"/>
      <c r="C69" s="23"/>
      <c r="D69" s="23"/>
      <c r="E69" s="23"/>
      <c r="F69" s="23"/>
      <c r="G69" s="23"/>
      <c r="H69" s="23"/>
      <c r="I69" s="23"/>
      <c r="J69" s="24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3.5" customHeight="1">
      <c r="A70" s="23"/>
      <c r="B70" s="23"/>
      <c r="C70" s="23"/>
      <c r="D70" s="23"/>
      <c r="E70" s="23"/>
      <c r="F70" s="23"/>
      <c r="G70" s="23"/>
      <c r="H70" s="23"/>
      <c r="I70" s="23"/>
      <c r="J70" s="24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3.5" customHeight="1">
      <c r="A71" s="23"/>
      <c r="B71" s="23"/>
      <c r="C71" s="23"/>
      <c r="D71" s="23"/>
      <c r="E71" s="23"/>
      <c r="F71" s="23"/>
      <c r="G71" s="23"/>
      <c r="H71" s="23"/>
      <c r="I71" s="23"/>
      <c r="J71" s="24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3"/>
      <c r="J72" s="24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3"/>
      <c r="J73" s="24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3"/>
      <c r="J74" s="24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3"/>
      <c r="J75" s="24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3"/>
      <c r="J76" s="24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3"/>
      <c r="J77" s="24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3"/>
      <c r="J78" s="24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3"/>
      <c r="J79" s="24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3"/>
      <c r="J80" s="24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3"/>
      <c r="J81" s="24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3"/>
      <c r="J82" s="24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3"/>
      <c r="J83" s="24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3"/>
      <c r="J84" s="24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4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3"/>
      <c r="J86" s="24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3"/>
      <c r="J87" s="24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3"/>
      <c r="J88" s="24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3"/>
      <c r="J89" s="24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3"/>
      <c r="J90" s="24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3"/>
      <c r="J91" s="24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3"/>
      <c r="J92" s="24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3"/>
      <c r="J93" s="24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3"/>
      <c r="J94" s="24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3"/>
      <c r="J95" s="24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3"/>
      <c r="J96" s="24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3"/>
      <c r="J97" s="24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3"/>
      <c r="J98" s="24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3"/>
      <c r="J99" s="24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4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4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4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4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4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4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4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4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4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4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4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4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4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4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4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4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4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4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4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4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4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4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4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4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4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4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4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4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4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4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4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4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4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4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4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4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4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4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4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4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4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4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4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4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4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4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4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4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4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4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4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4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4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4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4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4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4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4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4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4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4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4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4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4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4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4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4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4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4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4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4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4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4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4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4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4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4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4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4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4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4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4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4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4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4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4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4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4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4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4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4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4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4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4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4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4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4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4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4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4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4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4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4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4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4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4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4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4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4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4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4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4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4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4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4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4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4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4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4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4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4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4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4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4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4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4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4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4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4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4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4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4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4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4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4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4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4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4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4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4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4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4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4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4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4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4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4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4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4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4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4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4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4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4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4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4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4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4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4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4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D6:E7"/>
    <mergeCell ref="F6:G6"/>
    <mergeCell ref="F7:G7"/>
    <mergeCell ref="D11:I11"/>
    <mergeCell ref="H6:H7"/>
    <mergeCell ref="I6:I7"/>
    <mergeCell ref="A2:E2"/>
    <mergeCell ref="A3:E3"/>
    <mergeCell ref="A4:A5"/>
    <mergeCell ref="B4:B5"/>
    <mergeCell ref="C4:C5"/>
    <mergeCell ref="D4:I4"/>
    <mergeCell ref="A6:A7"/>
    <mergeCell ref="B6:B7"/>
    <mergeCell ref="C6:C7"/>
    <mergeCell ref="A11:C11"/>
    <mergeCell ref="A12:C12"/>
    <mergeCell ref="A14:C14"/>
    <mergeCell ref="A15:C15"/>
    <mergeCell ref="A16:C16"/>
    <mergeCell ref="E29:F29"/>
    <mergeCell ref="E30:F30"/>
    <mergeCell ref="E32:F32"/>
    <mergeCell ref="E31:F31"/>
    <mergeCell ref="A34:D34"/>
    <mergeCell ref="E34:I34"/>
    <mergeCell ref="A50:I50"/>
    <mergeCell ref="A55:I55"/>
    <mergeCell ref="A56:I56"/>
    <mergeCell ref="A59:I59"/>
    <mergeCell ref="A21:C21"/>
    <mergeCell ref="A22:C22"/>
    <mergeCell ref="D22:I22"/>
    <mergeCell ref="A27:D27"/>
    <mergeCell ref="E27:I27"/>
    <mergeCell ref="E28:F28"/>
    <mergeCell ref="G29:I31"/>
  </mergeCells>
  <printOptions/>
  <pageMargins bottom="0.0" footer="0.0" header="0.0" left="0.11811023622047245" right="0.0" top="0.1968503937007874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9.43"/>
    <col customWidth="1" min="3" max="3" width="55.29"/>
    <col customWidth="1" min="4" max="4" width="11.29"/>
    <col customWidth="1" min="5" max="5" width="10.43"/>
    <col customWidth="1" min="6" max="7" width="12.29"/>
    <col customWidth="1" min="8" max="8" width="7.71"/>
    <col customWidth="1" min="9" max="9" width="10.29"/>
    <col customWidth="1" min="10" max="10" width="11.71"/>
    <col customWidth="1" min="11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3"/>
      <c r="J1" s="24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208</v>
      </c>
      <c r="B2" s="26"/>
      <c r="C2" s="26"/>
      <c r="D2" s="26"/>
      <c r="E2" s="26"/>
      <c r="F2" s="23"/>
      <c r="G2" s="23"/>
      <c r="H2" s="23"/>
      <c r="I2" s="23"/>
      <c r="J2" s="24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71</v>
      </c>
      <c r="B3" s="28"/>
      <c r="C3" s="28"/>
      <c r="D3" s="28"/>
      <c r="E3" s="28"/>
      <c r="F3" s="29" t="s">
        <v>72</v>
      </c>
      <c r="G3" s="23"/>
      <c r="H3" s="23"/>
      <c r="I3" s="23"/>
      <c r="J3" s="24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145" t="s">
        <v>73</v>
      </c>
      <c r="B4" s="145" t="s">
        <v>5</v>
      </c>
      <c r="C4" s="145" t="s">
        <v>74</v>
      </c>
      <c r="D4" s="146" t="s">
        <v>185</v>
      </c>
      <c r="E4" s="5"/>
      <c r="F4" s="5"/>
      <c r="G4" s="5"/>
      <c r="H4" s="5"/>
      <c r="I4" s="6"/>
      <c r="J4" s="24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2"/>
      <c r="B5" s="33"/>
      <c r="C5" s="32"/>
      <c r="D5" s="147" t="s">
        <v>76</v>
      </c>
      <c r="E5" s="148" t="s">
        <v>77</v>
      </c>
      <c r="F5" s="148" t="s">
        <v>78</v>
      </c>
      <c r="G5" s="148" t="s">
        <v>79</v>
      </c>
      <c r="H5" s="148" t="s">
        <v>80</v>
      </c>
      <c r="I5" s="148" t="s">
        <v>81</v>
      </c>
      <c r="J5" s="24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140"/>
      <c r="B6" s="140"/>
      <c r="C6" s="141"/>
      <c r="D6" s="40" t="s">
        <v>82</v>
      </c>
      <c r="E6" s="39"/>
      <c r="F6" s="41" t="s">
        <v>83</v>
      </c>
      <c r="G6" s="26"/>
      <c r="H6" s="142" t="s">
        <v>186</v>
      </c>
      <c r="I6" s="43" t="s">
        <v>85</v>
      </c>
      <c r="J6" s="24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44"/>
      <c r="B7" s="44"/>
      <c r="C7" s="46"/>
      <c r="D7" s="47"/>
      <c r="E7" s="46"/>
      <c r="F7" s="48" t="s">
        <v>86</v>
      </c>
      <c r="G7" s="26"/>
      <c r="H7" s="32"/>
      <c r="I7" s="32"/>
      <c r="J7" s="24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7.75" customHeight="1">
      <c r="A8" s="49" t="s">
        <v>87</v>
      </c>
      <c r="B8" s="50" t="s">
        <v>209</v>
      </c>
      <c r="C8" s="51" t="s">
        <v>210</v>
      </c>
      <c r="D8" s="52">
        <v>1650.0</v>
      </c>
      <c r="E8" s="53">
        <v>1650.0</v>
      </c>
      <c r="F8" s="53">
        <v>1330.0</v>
      </c>
      <c r="G8" s="53">
        <v>1170.0</v>
      </c>
      <c r="H8" s="53">
        <v>400.0</v>
      </c>
      <c r="I8" s="53">
        <v>300.0</v>
      </c>
      <c r="J8" s="55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30.75" customHeight="1">
      <c r="A9" s="49" t="s">
        <v>90</v>
      </c>
      <c r="B9" s="50" t="s">
        <v>211</v>
      </c>
      <c r="C9" s="51" t="s">
        <v>92</v>
      </c>
      <c r="D9" s="52">
        <v>1950.0</v>
      </c>
      <c r="E9" s="53">
        <v>1950.0</v>
      </c>
      <c r="F9" s="53">
        <v>1570.0</v>
      </c>
      <c r="G9" s="53">
        <v>1380.0</v>
      </c>
      <c r="H9" s="53">
        <v>400.0</v>
      </c>
      <c r="I9" s="53">
        <v>350.0</v>
      </c>
      <c r="J9" s="55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32.25" customHeight="1">
      <c r="A10" s="149" t="s">
        <v>93</v>
      </c>
      <c r="B10" s="150" t="s">
        <v>212</v>
      </c>
      <c r="C10" s="151" t="s">
        <v>95</v>
      </c>
      <c r="D10" s="52">
        <v>2250.0</v>
      </c>
      <c r="E10" s="53">
        <v>2250.0</v>
      </c>
      <c r="F10" s="53">
        <v>1810.0</v>
      </c>
      <c r="G10" s="53">
        <v>1590.0</v>
      </c>
      <c r="H10" s="53">
        <v>400.0</v>
      </c>
      <c r="I10" s="53">
        <v>450.0</v>
      </c>
      <c r="J10" s="55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146" t="s">
        <v>96</v>
      </c>
      <c r="B11" s="5"/>
      <c r="C11" s="6"/>
      <c r="D11" s="146" t="s">
        <v>97</v>
      </c>
      <c r="E11" s="5"/>
      <c r="F11" s="5"/>
      <c r="G11" s="5"/>
      <c r="H11" s="5"/>
      <c r="I11" s="6"/>
      <c r="J11" s="24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152" t="s">
        <v>98</v>
      </c>
      <c r="B12" s="38"/>
      <c r="C12" s="39"/>
      <c r="D12" s="153" t="s">
        <v>99</v>
      </c>
      <c r="E12" s="62"/>
      <c r="F12" s="62"/>
      <c r="G12" s="62"/>
      <c r="H12" s="62"/>
      <c r="I12" s="63"/>
      <c r="J12" s="24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64" t="s">
        <v>191</v>
      </c>
      <c r="B13" s="65"/>
      <c r="C13" s="66"/>
      <c r="D13" s="64" t="s">
        <v>101</v>
      </c>
      <c r="E13" s="65"/>
      <c r="F13" s="65"/>
      <c r="G13" s="65"/>
      <c r="H13" s="65"/>
      <c r="I13" s="67"/>
      <c r="J13" s="24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60" t="s">
        <v>213</v>
      </c>
      <c r="C14" s="61"/>
      <c r="D14" s="68" t="s">
        <v>103</v>
      </c>
      <c r="E14" s="65"/>
      <c r="F14" s="65"/>
      <c r="G14" s="65"/>
      <c r="H14" s="65"/>
      <c r="I14" s="67"/>
      <c r="J14" s="24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69" t="s">
        <v>104</v>
      </c>
      <c r="C15" s="61"/>
      <c r="D15" s="68" t="s">
        <v>105</v>
      </c>
      <c r="E15" s="65"/>
      <c r="F15" s="65"/>
      <c r="G15" s="65"/>
      <c r="H15" s="65"/>
      <c r="I15" s="67"/>
      <c r="J15" s="24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69" t="s">
        <v>106</v>
      </c>
      <c r="D16" s="70" t="s">
        <v>107</v>
      </c>
      <c r="E16" s="65"/>
      <c r="F16" s="65"/>
      <c r="G16" s="65"/>
      <c r="H16" s="65"/>
      <c r="I16" s="67"/>
      <c r="J16" s="24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71" t="s">
        <v>214</v>
      </c>
      <c r="B17" s="23"/>
      <c r="C17" s="72"/>
      <c r="D17" s="73" t="s">
        <v>109</v>
      </c>
      <c r="E17" s="74"/>
      <c r="F17" s="74"/>
      <c r="G17" s="74"/>
      <c r="H17" s="74"/>
      <c r="I17" s="75"/>
      <c r="J17" s="2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71" t="s">
        <v>215</v>
      </c>
      <c r="B18" s="23"/>
      <c r="C18" s="72"/>
      <c r="D18" s="68"/>
      <c r="E18" s="65"/>
      <c r="F18" s="65"/>
      <c r="G18" s="65"/>
      <c r="H18" s="65"/>
      <c r="I18" s="67"/>
      <c r="J18" s="2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71" t="s">
        <v>216</v>
      </c>
      <c r="B19" s="154"/>
      <c r="C19" s="72"/>
      <c r="D19" s="65"/>
      <c r="E19" s="65"/>
      <c r="F19" s="65"/>
      <c r="G19" s="65"/>
      <c r="H19" s="65"/>
      <c r="I19" s="67"/>
      <c r="J19" s="24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71" t="s">
        <v>217</v>
      </c>
      <c r="B20" s="23"/>
      <c r="C20" s="72"/>
      <c r="D20" s="68"/>
      <c r="E20" s="65"/>
      <c r="F20" s="65"/>
      <c r="G20" s="65"/>
      <c r="H20" s="65"/>
      <c r="I20" s="67"/>
      <c r="J20" s="24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71" t="s">
        <v>218</v>
      </c>
      <c r="B21" s="23"/>
      <c r="C21" s="72"/>
      <c r="D21" s="64"/>
      <c r="E21" s="65"/>
      <c r="F21" s="65"/>
      <c r="G21" s="65"/>
      <c r="H21" s="65"/>
      <c r="I21" s="67"/>
      <c r="J21" s="24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4.25" customHeight="1">
      <c r="A22" s="71" t="s">
        <v>219</v>
      </c>
      <c r="B22" s="23"/>
      <c r="C22" s="72"/>
      <c r="D22" s="64"/>
      <c r="E22" s="65"/>
      <c r="F22" s="65"/>
      <c r="G22" s="65"/>
      <c r="H22" s="65"/>
      <c r="I22" s="67"/>
      <c r="J22" s="24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71" t="s">
        <v>220</v>
      </c>
      <c r="B23" s="23"/>
      <c r="C23" s="72"/>
      <c r="D23" s="64"/>
      <c r="E23" s="65"/>
      <c r="F23" s="65"/>
      <c r="G23" s="65"/>
      <c r="H23" s="65"/>
      <c r="I23" s="67"/>
      <c r="J23" s="24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64" t="s">
        <v>221</v>
      </c>
      <c r="B24" s="23"/>
      <c r="C24" s="72"/>
      <c r="D24" s="64"/>
      <c r="E24" s="65"/>
      <c r="F24" s="65"/>
      <c r="G24" s="65"/>
      <c r="H24" s="65"/>
      <c r="I24" s="67"/>
      <c r="J24" s="24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71" t="s">
        <v>222</v>
      </c>
      <c r="B25" s="23"/>
      <c r="C25" s="72"/>
      <c r="D25" s="64"/>
      <c r="E25" s="65"/>
      <c r="F25" s="65"/>
      <c r="G25" s="65"/>
      <c r="H25" s="65"/>
      <c r="I25" s="67"/>
      <c r="J25" s="24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4.25" customHeight="1">
      <c r="A26" s="155"/>
      <c r="B26" s="156"/>
      <c r="C26" s="136"/>
      <c r="D26" s="78"/>
      <c r="E26" s="101"/>
      <c r="F26" s="101"/>
      <c r="G26" s="101"/>
      <c r="H26" s="101"/>
      <c r="I26" s="157"/>
      <c r="J26" s="24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6.5" customHeight="1">
      <c r="A27" s="158" t="s">
        <v>223</v>
      </c>
      <c r="B27" s="5"/>
      <c r="C27" s="5"/>
      <c r="D27" s="159"/>
      <c r="E27" s="5"/>
      <c r="F27" s="5"/>
      <c r="G27" s="5"/>
      <c r="H27" s="5"/>
      <c r="I27" s="6"/>
      <c r="J27" s="24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3.5" customHeight="1">
      <c r="A28" s="81" t="s">
        <v>114</v>
      </c>
      <c r="B28" s="82"/>
      <c r="C28" s="82" t="s">
        <v>115</v>
      </c>
      <c r="D28" s="83" t="s">
        <v>137</v>
      </c>
      <c r="E28" s="83"/>
      <c r="F28" s="83"/>
      <c r="G28" s="83"/>
      <c r="H28" s="83"/>
      <c r="I28" s="84"/>
      <c r="J28" s="24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3.5" customHeight="1">
      <c r="A29" s="69" t="s">
        <v>117</v>
      </c>
      <c r="B29" s="85"/>
      <c r="C29" s="85" t="s">
        <v>224</v>
      </c>
      <c r="D29" s="85" t="s">
        <v>225</v>
      </c>
      <c r="E29" s="85"/>
      <c r="F29" s="85"/>
      <c r="G29" s="85"/>
      <c r="H29" s="85"/>
      <c r="I29" s="66"/>
      <c r="J29" s="24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3.5" customHeight="1">
      <c r="A30" s="69" t="s">
        <v>121</v>
      </c>
      <c r="B30" s="85"/>
      <c r="C30" s="85" t="s">
        <v>226</v>
      </c>
      <c r="D30" s="85" t="s">
        <v>227</v>
      </c>
      <c r="E30" s="85"/>
      <c r="F30" s="85"/>
      <c r="G30" s="85"/>
      <c r="H30" s="85"/>
      <c r="I30" s="66"/>
      <c r="J30" s="24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3.5" customHeight="1">
      <c r="A31" s="160" t="s">
        <v>194</v>
      </c>
      <c r="B31" s="161"/>
      <c r="C31" s="161" t="s">
        <v>122</v>
      </c>
      <c r="D31" s="161" t="s">
        <v>119</v>
      </c>
      <c r="E31" s="161"/>
      <c r="F31" s="161"/>
      <c r="G31" s="161"/>
      <c r="H31" s="161"/>
      <c r="I31" s="162"/>
      <c r="J31" s="24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6.5" customHeight="1">
      <c r="A32" s="146" t="s">
        <v>228</v>
      </c>
      <c r="B32" s="5"/>
      <c r="C32" s="5"/>
      <c r="D32" s="5"/>
      <c r="E32" s="163" t="s">
        <v>124</v>
      </c>
      <c r="F32" s="5"/>
      <c r="G32" s="5"/>
      <c r="H32" s="5"/>
      <c r="I32" s="6"/>
      <c r="J32" s="24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ht="28.5" customHeight="1">
      <c r="A33" s="92" t="s">
        <v>125</v>
      </c>
      <c r="B33" s="93" t="s">
        <v>126</v>
      </c>
      <c r="C33" s="94" t="s">
        <v>196</v>
      </c>
      <c r="D33" s="95"/>
      <c r="E33" s="96" t="s">
        <v>128</v>
      </c>
      <c r="F33" s="5"/>
      <c r="G33" s="97"/>
      <c r="H33" s="97"/>
      <c r="I33" s="151"/>
      <c r="J33" s="24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ht="40.5" customHeight="1">
      <c r="A34" s="99" t="s">
        <v>119</v>
      </c>
      <c r="B34" s="100" t="s">
        <v>129</v>
      </c>
      <c r="C34" s="101" t="s">
        <v>130</v>
      </c>
      <c r="D34" s="102"/>
      <c r="E34" s="96" t="s">
        <v>131</v>
      </c>
      <c r="F34" s="6"/>
      <c r="G34" s="104" t="s">
        <v>229</v>
      </c>
      <c r="H34" s="38"/>
      <c r="I34" s="39"/>
      <c r="J34" s="24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28.5" customHeight="1">
      <c r="A35" s="105" t="s">
        <v>133</v>
      </c>
      <c r="B35" s="100" t="s">
        <v>134</v>
      </c>
      <c r="C35" s="106" t="s">
        <v>135</v>
      </c>
      <c r="D35" s="107"/>
      <c r="E35" s="96" t="s">
        <v>136</v>
      </c>
      <c r="F35" s="6"/>
      <c r="G35" s="108"/>
      <c r="I35" s="61"/>
      <c r="J35" s="24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ht="28.5" customHeight="1">
      <c r="A36" s="92" t="s">
        <v>137</v>
      </c>
      <c r="B36" s="111"/>
      <c r="C36" s="94" t="s">
        <v>146</v>
      </c>
      <c r="D36" s="95"/>
      <c r="E36" s="112" t="s">
        <v>147</v>
      </c>
      <c r="F36" s="101"/>
      <c r="G36" s="94"/>
      <c r="H36" s="94"/>
      <c r="I36" s="164"/>
      <c r="J36" s="24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ht="12.75" customHeight="1">
      <c r="A37" s="146" t="s">
        <v>148</v>
      </c>
      <c r="B37" s="5"/>
      <c r="C37" s="5"/>
      <c r="D37" s="6"/>
      <c r="E37" s="158" t="s">
        <v>149</v>
      </c>
      <c r="F37" s="5"/>
      <c r="G37" s="5"/>
      <c r="H37" s="5"/>
      <c r="I37" s="6"/>
      <c r="J37" s="24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ht="13.5" customHeight="1">
      <c r="A38" s="116" t="s">
        <v>230</v>
      </c>
      <c r="B38" s="117"/>
      <c r="C38" s="91"/>
      <c r="D38" s="165"/>
      <c r="E38" s="118">
        <v>1.0</v>
      </c>
      <c r="F38" s="62" t="s">
        <v>151</v>
      </c>
      <c r="G38" s="62"/>
      <c r="H38" s="119"/>
      <c r="I38" s="120"/>
      <c r="J38" s="24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ht="13.5" customHeight="1">
      <c r="A39" s="116" t="s">
        <v>231</v>
      </c>
      <c r="B39" s="117"/>
      <c r="C39" s="91"/>
      <c r="D39" s="165"/>
      <c r="E39" s="121">
        <v>0.5</v>
      </c>
      <c r="F39" s="122" t="s">
        <v>153</v>
      </c>
      <c r="G39" s="122"/>
      <c r="H39" s="123"/>
      <c r="I39" s="124"/>
      <c r="J39" s="24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3.5" customHeight="1">
      <c r="A40" s="125" t="s">
        <v>232</v>
      </c>
      <c r="B40" s="126"/>
      <c r="C40" s="23"/>
      <c r="D40" s="72"/>
      <c r="E40" s="121">
        <v>0.0</v>
      </c>
      <c r="F40" s="122" t="s">
        <v>155</v>
      </c>
      <c r="G40" s="122"/>
      <c r="H40" s="123"/>
      <c r="I40" s="124"/>
      <c r="J40" s="24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3.5" customHeight="1">
      <c r="A41" s="127" t="s">
        <v>233</v>
      </c>
      <c r="B41" s="128"/>
      <c r="C41" s="23"/>
      <c r="D41" s="72"/>
      <c r="E41" s="129"/>
      <c r="F41" s="65"/>
      <c r="G41" s="65"/>
      <c r="H41" s="130"/>
      <c r="I41" s="131"/>
      <c r="J41" s="24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3.5" customHeight="1">
      <c r="A42" s="127" t="s">
        <v>234</v>
      </c>
      <c r="B42" s="128"/>
      <c r="C42" s="23"/>
      <c r="D42" s="72"/>
      <c r="E42" s="71"/>
      <c r="F42" s="23"/>
      <c r="G42" s="23"/>
      <c r="H42" s="23"/>
      <c r="I42" s="72"/>
      <c r="J42" s="24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3.5" customHeight="1">
      <c r="A43" s="127" t="s">
        <v>235</v>
      </c>
      <c r="B43" s="128"/>
      <c r="C43" s="23"/>
      <c r="D43" s="72"/>
      <c r="E43" s="71"/>
      <c r="F43" s="23"/>
      <c r="G43" s="23"/>
      <c r="H43" s="23"/>
      <c r="I43" s="72"/>
      <c r="J43" s="24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3.5" customHeight="1">
      <c r="A44" s="127" t="s">
        <v>236</v>
      </c>
      <c r="B44" s="128"/>
      <c r="C44" s="23"/>
      <c r="D44" s="72"/>
      <c r="E44" s="71"/>
      <c r="F44" s="23"/>
      <c r="G44" s="23"/>
      <c r="H44" s="23"/>
      <c r="I44" s="72"/>
      <c r="J44" s="24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3.5" customHeight="1">
      <c r="A45" s="127" t="s">
        <v>237</v>
      </c>
      <c r="B45" s="128"/>
      <c r="C45" s="23"/>
      <c r="D45" s="72"/>
      <c r="E45" s="71"/>
      <c r="F45" s="23"/>
      <c r="G45" s="23"/>
      <c r="H45" s="23"/>
      <c r="I45" s="72"/>
      <c r="J45" s="24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3.5" customHeight="1">
      <c r="A46" s="132" t="s">
        <v>161</v>
      </c>
      <c r="B46" s="133"/>
      <c r="C46" s="23"/>
      <c r="D46" s="72"/>
      <c r="E46" s="71"/>
      <c r="F46" s="23"/>
      <c r="G46" s="23"/>
      <c r="H46" s="23"/>
      <c r="I46" s="72"/>
      <c r="J46" s="24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3.5" customHeight="1">
      <c r="A47" s="125" t="s">
        <v>238</v>
      </c>
      <c r="B47" s="126"/>
      <c r="C47" s="134" t="s">
        <v>163</v>
      </c>
      <c r="D47" s="72"/>
      <c r="E47" s="71"/>
      <c r="F47" s="23"/>
      <c r="G47" s="23"/>
      <c r="H47" s="23"/>
      <c r="I47" s="72"/>
      <c r="J47" s="24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3.5" customHeight="1">
      <c r="A48" s="71" t="s">
        <v>164</v>
      </c>
      <c r="B48" s="23"/>
      <c r="C48" s="135" t="s">
        <v>165</v>
      </c>
      <c r="D48" s="72"/>
      <c r="E48" s="71"/>
      <c r="F48" s="23"/>
      <c r="G48" s="23"/>
      <c r="H48" s="23"/>
      <c r="I48" s="72"/>
      <c r="J48" s="24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3.5" customHeight="1">
      <c r="A49" s="71" t="s">
        <v>166</v>
      </c>
      <c r="B49" s="23"/>
      <c r="C49" s="135" t="s">
        <v>167</v>
      </c>
      <c r="D49" s="72"/>
      <c r="E49" s="71"/>
      <c r="F49" s="23"/>
      <c r="G49" s="23"/>
      <c r="H49" s="23"/>
      <c r="I49" s="72"/>
      <c r="J49" s="24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3.5" customHeight="1">
      <c r="A50" s="71" t="s">
        <v>168</v>
      </c>
      <c r="B50" s="23"/>
      <c r="C50" s="135" t="s">
        <v>169</v>
      </c>
      <c r="D50" s="72"/>
      <c r="E50" s="71"/>
      <c r="F50" s="23"/>
      <c r="G50" s="23"/>
      <c r="H50" s="23"/>
      <c r="I50" s="72"/>
      <c r="J50" s="24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3.5" customHeight="1">
      <c r="A51" s="71" t="s">
        <v>170</v>
      </c>
      <c r="B51" s="23"/>
      <c r="C51" s="23" t="s">
        <v>171</v>
      </c>
      <c r="D51" s="72"/>
      <c r="E51" s="71"/>
      <c r="F51" s="23"/>
      <c r="G51" s="23"/>
      <c r="H51" s="23"/>
      <c r="I51" s="72"/>
      <c r="J51" s="24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3.5" customHeight="1">
      <c r="A52" s="86" t="s">
        <v>172</v>
      </c>
      <c r="B52" s="87"/>
      <c r="C52" s="87" t="s">
        <v>173</v>
      </c>
      <c r="D52" s="136"/>
      <c r="E52" s="86"/>
      <c r="F52" s="87"/>
      <c r="G52" s="87"/>
      <c r="H52" s="87"/>
      <c r="I52" s="136"/>
      <c r="J52" s="24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3.5" customHeight="1">
      <c r="A53" s="146" t="s">
        <v>174</v>
      </c>
      <c r="B53" s="5"/>
      <c r="C53" s="5"/>
      <c r="D53" s="5"/>
      <c r="E53" s="5"/>
      <c r="F53" s="5"/>
      <c r="G53" s="5"/>
      <c r="H53" s="5"/>
      <c r="I53" s="6"/>
      <c r="J53" s="24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75" customHeight="1">
      <c r="A54" s="64" t="s">
        <v>175</v>
      </c>
      <c r="B54" s="65"/>
      <c r="C54" s="65"/>
      <c r="D54" s="65"/>
      <c r="E54" s="65"/>
      <c r="F54" s="65"/>
      <c r="G54" s="65"/>
      <c r="H54" s="65"/>
      <c r="I54" s="67"/>
      <c r="J54" s="24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>
      <c r="A55" s="64" t="s">
        <v>176</v>
      </c>
      <c r="B55" s="65"/>
      <c r="C55" s="65"/>
      <c r="D55" s="65"/>
      <c r="E55" s="65"/>
      <c r="F55" s="65"/>
      <c r="G55" s="65"/>
      <c r="H55" s="65"/>
      <c r="I55" s="67"/>
      <c r="J55" s="24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>
      <c r="A56" s="64" t="s">
        <v>177</v>
      </c>
      <c r="B56" s="65"/>
      <c r="C56" s="65"/>
      <c r="D56" s="65"/>
      <c r="E56" s="65"/>
      <c r="F56" s="65"/>
      <c r="G56" s="65"/>
      <c r="H56" s="65"/>
      <c r="I56" s="67"/>
      <c r="J56" s="24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64" t="s">
        <v>239</v>
      </c>
      <c r="B57" s="65"/>
      <c r="C57" s="65"/>
      <c r="D57" s="65"/>
      <c r="E57" s="65"/>
      <c r="F57" s="65"/>
      <c r="G57" s="65"/>
      <c r="H57" s="65"/>
      <c r="I57" s="67"/>
      <c r="J57" s="24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60" t="s">
        <v>179</v>
      </c>
      <c r="I58" s="61"/>
      <c r="J58" s="24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137" t="s">
        <v>180</v>
      </c>
      <c r="I59" s="61"/>
      <c r="J59" s="24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138" t="s">
        <v>181</v>
      </c>
      <c r="B60" s="139"/>
      <c r="C60" s="65"/>
      <c r="D60" s="65"/>
      <c r="E60" s="65"/>
      <c r="F60" s="65"/>
      <c r="G60" s="65"/>
      <c r="H60" s="65"/>
      <c r="I60" s="67"/>
      <c r="J60" s="24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64" t="s">
        <v>182</v>
      </c>
      <c r="B61" s="65"/>
      <c r="C61" s="65"/>
      <c r="D61" s="65"/>
      <c r="E61" s="65"/>
      <c r="F61" s="65"/>
      <c r="G61" s="65"/>
      <c r="H61" s="65"/>
      <c r="I61" s="67"/>
      <c r="J61" s="24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78" t="s">
        <v>240</v>
      </c>
      <c r="B62" s="45"/>
      <c r="C62" s="45"/>
      <c r="D62" s="45"/>
      <c r="E62" s="45"/>
      <c r="F62" s="45"/>
      <c r="G62" s="45"/>
      <c r="H62" s="45"/>
      <c r="I62" s="46"/>
      <c r="J62" s="24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4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3.5" customHeight="1">
      <c r="A64" s="23"/>
      <c r="B64" s="23"/>
      <c r="C64" s="23"/>
      <c r="D64" s="23"/>
      <c r="E64" s="23"/>
      <c r="F64" s="23"/>
      <c r="G64" s="23"/>
      <c r="H64" s="23"/>
      <c r="I64" s="23"/>
      <c r="J64" s="24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3.5" customHeight="1">
      <c r="A65" s="23"/>
      <c r="B65" s="23"/>
      <c r="C65" s="23"/>
      <c r="D65" s="23"/>
      <c r="E65" s="23"/>
      <c r="F65" s="23"/>
      <c r="G65" s="23"/>
      <c r="H65" s="23"/>
      <c r="I65" s="23"/>
      <c r="J65" s="24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3.5" customHeight="1">
      <c r="A66" s="23"/>
      <c r="B66" s="23"/>
      <c r="C66" s="23"/>
      <c r="D66" s="23"/>
      <c r="E66" s="23"/>
      <c r="F66" s="23"/>
      <c r="G66" s="23"/>
      <c r="H66" s="23"/>
      <c r="I66" s="23"/>
      <c r="J66" s="24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3.5" customHeight="1">
      <c r="A67" s="23"/>
      <c r="B67" s="23"/>
      <c r="C67" s="23"/>
      <c r="D67" s="23"/>
      <c r="E67" s="23"/>
      <c r="F67" s="23"/>
      <c r="G67" s="23"/>
      <c r="H67" s="23"/>
      <c r="I67" s="23"/>
      <c r="J67" s="24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3.5" customHeight="1">
      <c r="A68" s="23"/>
      <c r="B68" s="23"/>
      <c r="C68" s="23"/>
      <c r="D68" s="23"/>
      <c r="E68" s="23"/>
      <c r="F68" s="23"/>
      <c r="G68" s="23"/>
      <c r="H68" s="23"/>
      <c r="I68" s="23"/>
      <c r="J68" s="24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3.5" customHeight="1">
      <c r="A69" s="23"/>
      <c r="B69" s="23"/>
      <c r="C69" s="23"/>
      <c r="D69" s="23"/>
      <c r="E69" s="23"/>
      <c r="F69" s="23"/>
      <c r="G69" s="23"/>
      <c r="H69" s="23"/>
      <c r="I69" s="23"/>
      <c r="J69" s="24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3.5" customHeight="1">
      <c r="A70" s="23"/>
      <c r="B70" s="23"/>
      <c r="C70" s="23"/>
      <c r="D70" s="23"/>
      <c r="E70" s="23"/>
      <c r="F70" s="23"/>
      <c r="G70" s="23"/>
      <c r="H70" s="23"/>
      <c r="I70" s="23"/>
      <c r="J70" s="24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3.5" customHeight="1">
      <c r="A71" s="23"/>
      <c r="B71" s="23"/>
      <c r="C71" s="23"/>
      <c r="D71" s="23"/>
      <c r="E71" s="23"/>
      <c r="F71" s="23"/>
      <c r="G71" s="23"/>
      <c r="H71" s="23"/>
      <c r="I71" s="23"/>
      <c r="J71" s="24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3"/>
      <c r="J72" s="24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3"/>
      <c r="J73" s="24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3"/>
      <c r="J74" s="24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3"/>
      <c r="J75" s="24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3"/>
      <c r="J76" s="24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3"/>
      <c r="J77" s="24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3"/>
      <c r="J78" s="24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3"/>
      <c r="J79" s="24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3"/>
      <c r="J80" s="24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3"/>
      <c r="J81" s="24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3"/>
      <c r="J82" s="24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3"/>
      <c r="J83" s="24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3"/>
      <c r="J84" s="24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4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3"/>
      <c r="J86" s="24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3"/>
      <c r="J87" s="24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3"/>
      <c r="J88" s="24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3"/>
      <c r="J89" s="24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3"/>
      <c r="J90" s="24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3"/>
      <c r="J91" s="24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3"/>
      <c r="J92" s="24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3"/>
      <c r="J93" s="24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3"/>
      <c r="J94" s="24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3"/>
      <c r="J95" s="24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3"/>
      <c r="J96" s="24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3"/>
      <c r="J97" s="24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3"/>
      <c r="J98" s="24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3"/>
      <c r="J99" s="24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4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4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4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4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4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4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4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4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4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4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4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4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4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4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4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4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4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4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4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4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4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4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4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4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4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4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4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4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4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4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4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4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4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4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4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4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4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4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4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4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4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4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4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4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4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4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4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4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4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4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4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4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4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4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4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4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4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4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4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4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4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4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4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4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4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4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4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4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4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4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4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4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4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4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4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4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4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4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4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4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4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4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4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4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4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4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4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4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4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4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4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4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4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4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4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4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4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4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4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4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4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4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4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4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4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4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4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4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4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4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4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4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4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4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4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4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4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4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4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4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4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4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4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4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4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4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4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4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4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4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4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4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4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4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4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4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4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4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4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4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4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4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4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4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4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4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4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4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4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4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4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4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4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4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4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4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4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4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4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4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4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4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4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D6:E7"/>
    <mergeCell ref="F6:G6"/>
    <mergeCell ref="F7:G7"/>
    <mergeCell ref="D11:I11"/>
    <mergeCell ref="D27:I27"/>
    <mergeCell ref="H6:H7"/>
    <mergeCell ref="I6:I7"/>
    <mergeCell ref="A2:E2"/>
    <mergeCell ref="A3:E3"/>
    <mergeCell ref="A4:A5"/>
    <mergeCell ref="B4:B5"/>
    <mergeCell ref="C4:C5"/>
    <mergeCell ref="D4:I4"/>
    <mergeCell ref="A6:A7"/>
    <mergeCell ref="B6:B7"/>
    <mergeCell ref="C6:C7"/>
    <mergeCell ref="A11:C11"/>
    <mergeCell ref="A12:C12"/>
    <mergeCell ref="A14:C14"/>
    <mergeCell ref="A15:C15"/>
    <mergeCell ref="A16:C16"/>
    <mergeCell ref="A37:D37"/>
    <mergeCell ref="E37:I37"/>
    <mergeCell ref="A53:I53"/>
    <mergeCell ref="A58:I58"/>
    <mergeCell ref="A59:I59"/>
    <mergeCell ref="A62:I62"/>
    <mergeCell ref="A27:C27"/>
    <mergeCell ref="A32:D32"/>
    <mergeCell ref="E32:I32"/>
    <mergeCell ref="E33:F33"/>
    <mergeCell ref="E34:F34"/>
    <mergeCell ref="G34:I35"/>
    <mergeCell ref="E35:F35"/>
  </mergeCells>
  <printOptions/>
  <pageMargins bottom="0.0" footer="0.0" header="0.0" left="0.11811023622047245" right="0.0" top="0.1968503937007874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9.86"/>
    <col customWidth="1" min="3" max="3" width="54.43"/>
    <col customWidth="1" min="4" max="4" width="11.43"/>
    <col customWidth="1" min="5" max="5" width="9.71"/>
    <col customWidth="1" min="6" max="7" width="12.29"/>
    <col customWidth="1" min="8" max="8" width="8.14"/>
    <col customWidth="1" min="9" max="9" width="10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241</v>
      </c>
      <c r="B2" s="26"/>
      <c r="C2" s="26"/>
      <c r="D2" s="26"/>
      <c r="E2" s="26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71</v>
      </c>
      <c r="B3" s="28"/>
      <c r="C3" s="28"/>
      <c r="D3" s="28"/>
      <c r="E3" s="28"/>
      <c r="F3" s="29" t="s">
        <v>72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166" t="s">
        <v>73</v>
      </c>
      <c r="B4" s="166" t="s">
        <v>5</v>
      </c>
      <c r="C4" s="166" t="s">
        <v>74</v>
      </c>
      <c r="D4" s="167" t="s">
        <v>185</v>
      </c>
      <c r="E4" s="168"/>
      <c r="F4" s="168"/>
      <c r="G4" s="168"/>
      <c r="H4" s="168"/>
      <c r="I4" s="169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170"/>
      <c r="B5" s="171"/>
      <c r="C5" s="170"/>
      <c r="D5" s="172" t="s">
        <v>76</v>
      </c>
      <c r="E5" s="173" t="s">
        <v>77</v>
      </c>
      <c r="F5" s="173" t="s">
        <v>78</v>
      </c>
      <c r="G5" s="173" t="s">
        <v>79</v>
      </c>
      <c r="H5" s="173" t="s">
        <v>80</v>
      </c>
      <c r="I5" s="173" t="s">
        <v>242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174"/>
      <c r="B6" s="174"/>
      <c r="C6" s="175"/>
      <c r="D6" s="176" t="s">
        <v>82</v>
      </c>
      <c r="E6" s="177"/>
      <c r="F6" s="178" t="s">
        <v>83</v>
      </c>
      <c r="G6" s="179"/>
      <c r="H6" s="180" t="s">
        <v>186</v>
      </c>
      <c r="I6" s="181" t="s">
        <v>85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182"/>
      <c r="B7" s="182"/>
      <c r="C7" s="183"/>
      <c r="D7" s="184"/>
      <c r="E7" s="185"/>
      <c r="F7" s="186" t="s">
        <v>86</v>
      </c>
      <c r="G7" s="187"/>
      <c r="H7" s="188"/>
      <c r="I7" s="188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30.0" customHeight="1">
      <c r="A8" s="189" t="s">
        <v>87</v>
      </c>
      <c r="B8" s="190" t="s">
        <v>243</v>
      </c>
      <c r="C8" s="191" t="s">
        <v>210</v>
      </c>
      <c r="D8" s="192">
        <v>2000.0</v>
      </c>
      <c r="E8" s="193">
        <v>2000.0</v>
      </c>
      <c r="F8" s="193">
        <v>1600.0</v>
      </c>
      <c r="G8" s="193">
        <v>1400.0</v>
      </c>
      <c r="H8" s="194">
        <v>400.0</v>
      </c>
      <c r="I8" s="194">
        <v>300.0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30.75" customHeight="1">
      <c r="A9" s="195" t="s">
        <v>90</v>
      </c>
      <c r="B9" s="196" t="s">
        <v>244</v>
      </c>
      <c r="C9" s="197" t="s">
        <v>92</v>
      </c>
      <c r="D9" s="198">
        <v>2350.0</v>
      </c>
      <c r="E9" s="199">
        <v>2350.0</v>
      </c>
      <c r="F9" s="199">
        <v>1880.0</v>
      </c>
      <c r="G9" s="199">
        <v>1645.0</v>
      </c>
      <c r="H9" s="194">
        <v>400.0</v>
      </c>
      <c r="I9" s="194">
        <v>350.0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33.0" customHeight="1">
      <c r="A10" s="200" t="s">
        <v>93</v>
      </c>
      <c r="B10" s="200" t="s">
        <v>245</v>
      </c>
      <c r="C10" s="201" t="s">
        <v>95</v>
      </c>
      <c r="D10" s="202">
        <v>2700.0</v>
      </c>
      <c r="E10" s="199">
        <v>2700.0</v>
      </c>
      <c r="F10" s="199">
        <v>2160.0</v>
      </c>
      <c r="G10" s="199">
        <v>1890.0</v>
      </c>
      <c r="H10" s="194">
        <v>400.0</v>
      </c>
      <c r="I10" s="194">
        <v>450.0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203" t="s">
        <v>96</v>
      </c>
      <c r="B11" s="204"/>
      <c r="C11" s="205"/>
      <c r="D11" s="206" t="s">
        <v>97</v>
      </c>
      <c r="E11" s="207"/>
      <c r="F11" s="207"/>
      <c r="G11" s="207"/>
      <c r="H11" s="207"/>
      <c r="I11" s="179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208" t="s">
        <v>98</v>
      </c>
      <c r="B12" s="65"/>
      <c r="C12" s="23"/>
      <c r="D12" s="209" t="s">
        <v>99</v>
      </c>
      <c r="E12" s="210"/>
      <c r="F12" s="210"/>
      <c r="G12" s="210"/>
      <c r="H12" s="210"/>
      <c r="I12" s="211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208" t="s">
        <v>246</v>
      </c>
      <c r="B13" s="65"/>
      <c r="C13" s="23"/>
      <c r="D13" s="212" t="s">
        <v>101</v>
      </c>
      <c r="E13" s="65"/>
      <c r="F13" s="65"/>
      <c r="G13" s="65"/>
      <c r="H13" s="65"/>
      <c r="I13" s="21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208" t="s">
        <v>213</v>
      </c>
      <c r="B14" s="65"/>
      <c r="C14" s="23"/>
      <c r="D14" s="214" t="s">
        <v>103</v>
      </c>
      <c r="E14" s="65"/>
      <c r="F14" s="65"/>
      <c r="G14" s="65"/>
      <c r="H14" s="65"/>
      <c r="I14" s="21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215" t="s">
        <v>104</v>
      </c>
      <c r="B15" s="23"/>
      <c r="C15" s="23"/>
      <c r="D15" s="214" t="s">
        <v>105</v>
      </c>
      <c r="E15" s="65"/>
      <c r="F15" s="65"/>
      <c r="G15" s="65"/>
      <c r="H15" s="65"/>
      <c r="I15" s="21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215" t="s">
        <v>106</v>
      </c>
      <c r="B16" s="23"/>
      <c r="C16" s="23"/>
      <c r="D16" s="214" t="s">
        <v>107</v>
      </c>
      <c r="E16" s="65"/>
      <c r="F16" s="65"/>
      <c r="G16" s="65"/>
      <c r="H16" s="65"/>
      <c r="I16" s="21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71" t="s">
        <v>247</v>
      </c>
      <c r="B17" s="23"/>
      <c r="C17" s="23"/>
      <c r="D17" s="216" t="s">
        <v>109</v>
      </c>
      <c r="E17" s="74"/>
      <c r="F17" s="74"/>
      <c r="G17" s="74"/>
      <c r="H17" s="74"/>
      <c r="I17" s="217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71" t="s">
        <v>248</v>
      </c>
      <c r="B18" s="23"/>
      <c r="C18" s="23"/>
      <c r="D18" s="214"/>
      <c r="E18" s="65"/>
      <c r="F18" s="65"/>
      <c r="G18" s="65"/>
      <c r="H18" s="65"/>
      <c r="I18" s="21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15" t="s">
        <v>216</v>
      </c>
      <c r="B19" s="23"/>
      <c r="C19" s="23"/>
      <c r="D19" s="212"/>
      <c r="E19" s="65"/>
      <c r="F19" s="65"/>
      <c r="G19" s="65"/>
      <c r="H19" s="65"/>
      <c r="I19" s="21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215" t="s">
        <v>249</v>
      </c>
      <c r="B20" s="23"/>
      <c r="C20" s="23"/>
      <c r="D20" s="218"/>
      <c r="E20" s="106"/>
      <c r="F20" s="106"/>
      <c r="G20" s="106"/>
      <c r="H20" s="106"/>
      <c r="I20" s="219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215" t="s">
        <v>250</v>
      </c>
      <c r="B21" s="23"/>
      <c r="C21" s="23"/>
      <c r="D21" s="218"/>
      <c r="E21" s="106"/>
      <c r="F21" s="106"/>
      <c r="G21" s="106"/>
      <c r="H21" s="106"/>
      <c r="I21" s="219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4.25" customHeight="1">
      <c r="A22" s="71" t="s">
        <v>251</v>
      </c>
      <c r="B22" s="23"/>
      <c r="C22" s="23"/>
      <c r="D22" s="218"/>
      <c r="E22" s="106"/>
      <c r="F22" s="106"/>
      <c r="G22" s="106"/>
      <c r="H22" s="106"/>
      <c r="I22" s="219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71" t="s">
        <v>220</v>
      </c>
      <c r="B23" s="23"/>
      <c r="C23" s="23"/>
      <c r="D23" s="218"/>
      <c r="E23" s="106"/>
      <c r="F23" s="106"/>
      <c r="G23" s="106"/>
      <c r="H23" s="106"/>
      <c r="I23" s="219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64" t="s">
        <v>221</v>
      </c>
      <c r="B24" s="23"/>
      <c r="C24" s="23"/>
      <c r="D24" s="218"/>
      <c r="E24" s="106"/>
      <c r="F24" s="106"/>
      <c r="G24" s="106"/>
      <c r="H24" s="106"/>
      <c r="I24" s="219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71" t="s">
        <v>222</v>
      </c>
      <c r="B25" s="23"/>
      <c r="C25" s="23"/>
      <c r="D25" s="218"/>
      <c r="E25" s="106"/>
      <c r="F25" s="106"/>
      <c r="G25" s="106"/>
      <c r="H25" s="106"/>
      <c r="I25" s="219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4.25" customHeight="1">
      <c r="A26" s="155"/>
      <c r="B26" s="156"/>
      <c r="C26" s="87"/>
      <c r="D26" s="220"/>
      <c r="E26" s="221"/>
      <c r="F26" s="221"/>
      <c r="G26" s="221"/>
      <c r="H26" s="221"/>
      <c r="I26" s="18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6.5" customHeight="1">
      <c r="A27" s="222" t="s">
        <v>252</v>
      </c>
      <c r="B27" s="223"/>
      <c r="C27" s="223"/>
      <c r="D27" s="224"/>
      <c r="E27" s="225"/>
      <c r="F27" s="225"/>
      <c r="G27" s="225"/>
      <c r="H27" s="225"/>
      <c r="I27" s="226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9.5" customHeight="1">
      <c r="A28" s="227" t="s">
        <v>114</v>
      </c>
      <c r="B28" s="228"/>
      <c r="C28" s="228" t="s">
        <v>115</v>
      </c>
      <c r="D28" s="229" t="s">
        <v>137</v>
      </c>
      <c r="E28" s="229"/>
      <c r="F28" s="229"/>
      <c r="G28" s="229"/>
      <c r="H28" s="229"/>
      <c r="I28" s="230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9.5" customHeight="1">
      <c r="A29" s="231" t="s">
        <v>117</v>
      </c>
      <c r="B29" s="85"/>
      <c r="C29" s="85" t="s">
        <v>224</v>
      </c>
      <c r="D29" s="85" t="s">
        <v>225</v>
      </c>
      <c r="E29" s="85"/>
      <c r="F29" s="85"/>
      <c r="G29" s="85"/>
      <c r="H29" s="85"/>
      <c r="I29" s="232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9.5" customHeight="1">
      <c r="A30" s="231" t="s">
        <v>121</v>
      </c>
      <c r="B30" s="85"/>
      <c r="C30" s="85" t="s">
        <v>226</v>
      </c>
      <c r="D30" s="85" t="s">
        <v>227</v>
      </c>
      <c r="E30" s="85"/>
      <c r="F30" s="85"/>
      <c r="G30" s="85"/>
      <c r="H30" s="85"/>
      <c r="I30" s="232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9.5" customHeight="1">
      <c r="A31" s="231" t="s">
        <v>194</v>
      </c>
      <c r="B31" s="85"/>
      <c r="C31" s="85" t="s">
        <v>118</v>
      </c>
      <c r="D31" s="85" t="s">
        <v>227</v>
      </c>
      <c r="E31" s="24"/>
      <c r="F31" s="24"/>
      <c r="G31" s="24"/>
      <c r="H31" s="24"/>
      <c r="I31" s="23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9.5" customHeight="1">
      <c r="A32" s="231" t="s">
        <v>253</v>
      </c>
      <c r="B32" s="85"/>
      <c r="C32" s="85" t="s">
        <v>122</v>
      </c>
      <c r="D32" s="85" t="s">
        <v>119</v>
      </c>
      <c r="E32" s="85"/>
      <c r="F32" s="85"/>
      <c r="G32" s="85"/>
      <c r="H32" s="85"/>
      <c r="I32" s="232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6.5" customHeight="1">
      <c r="A33" s="234" t="s">
        <v>195</v>
      </c>
      <c r="B33" s="235"/>
      <c r="C33" s="235"/>
      <c r="D33" s="236"/>
      <c r="E33" s="237" t="s">
        <v>124</v>
      </c>
      <c r="F33" s="235"/>
      <c r="G33" s="235"/>
      <c r="H33" s="235"/>
      <c r="I33" s="236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ht="28.5" customHeight="1">
      <c r="A34" s="238" t="s">
        <v>125</v>
      </c>
      <c r="B34" s="239" t="s">
        <v>126</v>
      </c>
      <c r="C34" s="240" t="s">
        <v>254</v>
      </c>
      <c r="D34" s="241"/>
      <c r="E34" s="103" t="s">
        <v>128</v>
      </c>
      <c r="F34" s="38"/>
      <c r="G34" s="242"/>
      <c r="H34" s="242"/>
      <c r="I34" s="243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40.5" customHeight="1">
      <c r="A35" s="244" t="s">
        <v>119</v>
      </c>
      <c r="B35" s="245" t="s">
        <v>129</v>
      </c>
      <c r="C35" s="246" t="s">
        <v>130</v>
      </c>
      <c r="D35" s="247"/>
      <c r="E35" s="248" t="s">
        <v>131</v>
      </c>
      <c r="F35" s="249"/>
      <c r="G35" s="250" t="s">
        <v>229</v>
      </c>
      <c r="H35" s="251"/>
      <c r="I35" s="252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ht="28.5" customHeight="1">
      <c r="A36" s="253" t="s">
        <v>133</v>
      </c>
      <c r="B36" s="254" t="s">
        <v>134</v>
      </c>
      <c r="C36" s="255" t="s">
        <v>135</v>
      </c>
      <c r="D36" s="256"/>
      <c r="E36" s="248" t="s">
        <v>136</v>
      </c>
      <c r="F36" s="249"/>
      <c r="I36" s="257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ht="28.5" customHeight="1">
      <c r="A37" s="258" t="s">
        <v>137</v>
      </c>
      <c r="B37" s="259"/>
      <c r="C37" s="260" t="s">
        <v>146</v>
      </c>
      <c r="D37" s="261"/>
      <c r="E37" s="112" t="s">
        <v>147</v>
      </c>
      <c r="F37" s="106"/>
      <c r="G37" s="240"/>
      <c r="H37" s="240"/>
      <c r="I37" s="262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ht="16.5" customHeight="1">
      <c r="A38" s="263" t="s">
        <v>148</v>
      </c>
      <c r="B38" s="225"/>
      <c r="C38" s="225"/>
      <c r="D38" s="225"/>
      <c r="E38" s="264" t="s">
        <v>149</v>
      </c>
      <c r="F38" s="265"/>
      <c r="G38" s="265"/>
      <c r="H38" s="265"/>
      <c r="I38" s="266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ht="13.5" customHeight="1">
      <c r="A39" s="267" t="s">
        <v>255</v>
      </c>
      <c r="B39" s="117"/>
      <c r="C39" s="91"/>
      <c r="D39" s="91"/>
      <c r="E39" s="268">
        <v>1.0</v>
      </c>
      <c r="F39" s="269" t="s">
        <v>151</v>
      </c>
      <c r="G39" s="269"/>
      <c r="H39" s="270"/>
      <c r="I39" s="27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ht="13.5" customHeight="1">
      <c r="A40" s="267" t="s">
        <v>256</v>
      </c>
      <c r="B40" s="117"/>
      <c r="C40" s="91"/>
      <c r="D40" s="91"/>
      <c r="E40" s="272">
        <v>0.5</v>
      </c>
      <c r="F40" s="273" t="s">
        <v>153</v>
      </c>
      <c r="G40" s="273"/>
      <c r="H40" s="274"/>
      <c r="I40" s="275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3.5" customHeight="1">
      <c r="A41" s="276" t="s">
        <v>257</v>
      </c>
      <c r="B41" s="126"/>
      <c r="C41" s="23"/>
      <c r="D41" s="23"/>
      <c r="E41" s="277">
        <v>0.0</v>
      </c>
      <c r="F41" s="278" t="s">
        <v>155</v>
      </c>
      <c r="G41" s="278"/>
      <c r="H41" s="279"/>
      <c r="I41" s="280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3.5" customHeight="1">
      <c r="A42" s="281" t="s">
        <v>258</v>
      </c>
      <c r="B42" s="128"/>
      <c r="C42" s="23"/>
      <c r="D42" s="23"/>
      <c r="E42" s="282"/>
      <c r="F42" s="65"/>
      <c r="G42" s="65"/>
      <c r="H42" s="130"/>
      <c r="I42" s="28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3.5" customHeight="1">
      <c r="A43" s="281" t="s">
        <v>259</v>
      </c>
      <c r="B43" s="128"/>
      <c r="C43" s="23"/>
      <c r="D43" s="23"/>
      <c r="E43" s="284"/>
      <c r="F43" s="23"/>
      <c r="G43" s="23"/>
      <c r="H43" s="23"/>
      <c r="I43" s="285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3.5" customHeight="1">
      <c r="A44" s="281" t="s">
        <v>260</v>
      </c>
      <c r="B44" s="128"/>
      <c r="C44" s="23"/>
      <c r="D44" s="23"/>
      <c r="E44" s="284"/>
      <c r="F44" s="23"/>
      <c r="G44" s="23"/>
      <c r="H44" s="23"/>
      <c r="I44" s="285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3.5" customHeight="1">
      <c r="A45" s="281" t="s">
        <v>261</v>
      </c>
      <c r="B45" s="128"/>
      <c r="C45" s="23"/>
      <c r="D45" s="23"/>
      <c r="E45" s="284"/>
      <c r="F45" s="23"/>
      <c r="G45" s="23"/>
      <c r="H45" s="23"/>
      <c r="I45" s="285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3.5" customHeight="1">
      <c r="A46" s="281" t="s">
        <v>262</v>
      </c>
      <c r="B46" s="128"/>
      <c r="C46" s="23"/>
      <c r="D46" s="23"/>
      <c r="E46" s="284"/>
      <c r="F46" s="23"/>
      <c r="G46" s="23"/>
      <c r="H46" s="23"/>
      <c r="I46" s="285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3.5" customHeight="1">
      <c r="A47" s="286" t="s">
        <v>161</v>
      </c>
      <c r="B47" s="133"/>
      <c r="C47" s="23"/>
      <c r="D47" s="23"/>
      <c r="E47" s="284"/>
      <c r="F47" s="23"/>
      <c r="G47" s="23"/>
      <c r="H47" s="23"/>
      <c r="I47" s="285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3.5" customHeight="1">
      <c r="A48" s="276" t="s">
        <v>263</v>
      </c>
      <c r="B48" s="126"/>
      <c r="C48" s="134" t="s">
        <v>163</v>
      </c>
      <c r="D48" s="23"/>
      <c r="E48" s="284"/>
      <c r="F48" s="23"/>
      <c r="G48" s="23"/>
      <c r="H48" s="23"/>
      <c r="I48" s="285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3.5" customHeight="1">
      <c r="A49" s="287" t="s">
        <v>164</v>
      </c>
      <c r="B49" s="23"/>
      <c r="C49" s="135" t="s">
        <v>165</v>
      </c>
      <c r="D49" s="23"/>
      <c r="E49" s="284"/>
      <c r="F49" s="23"/>
      <c r="G49" s="23"/>
      <c r="H49" s="23"/>
      <c r="I49" s="285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3.5" customHeight="1">
      <c r="A50" s="287" t="s">
        <v>166</v>
      </c>
      <c r="B50" s="23"/>
      <c r="C50" s="135" t="s">
        <v>167</v>
      </c>
      <c r="D50" s="23"/>
      <c r="E50" s="284"/>
      <c r="F50" s="23"/>
      <c r="G50" s="23"/>
      <c r="H50" s="23"/>
      <c r="I50" s="285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3.5" customHeight="1">
      <c r="A51" s="287" t="s">
        <v>168</v>
      </c>
      <c r="B51" s="23"/>
      <c r="C51" s="135" t="s">
        <v>169</v>
      </c>
      <c r="D51" s="23"/>
      <c r="E51" s="284"/>
      <c r="F51" s="23"/>
      <c r="G51" s="23"/>
      <c r="H51" s="23"/>
      <c r="I51" s="285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3.5" customHeight="1">
      <c r="A52" s="287" t="s">
        <v>170</v>
      </c>
      <c r="B52" s="23"/>
      <c r="C52" s="23" t="s">
        <v>171</v>
      </c>
      <c r="D52" s="23"/>
      <c r="E52" s="284"/>
      <c r="F52" s="23"/>
      <c r="G52" s="23"/>
      <c r="H52" s="23"/>
      <c r="I52" s="285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3.5" customHeight="1">
      <c r="A53" s="287" t="s">
        <v>172</v>
      </c>
      <c r="B53" s="23"/>
      <c r="C53" s="23" t="s">
        <v>173</v>
      </c>
      <c r="D53" s="23"/>
      <c r="E53" s="284"/>
      <c r="F53" s="23"/>
      <c r="G53" s="23"/>
      <c r="H53" s="23"/>
      <c r="I53" s="285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6.5" customHeight="1">
      <c r="A54" s="288" t="s">
        <v>174</v>
      </c>
      <c r="B54" s="289"/>
      <c r="C54" s="289"/>
      <c r="D54" s="289"/>
      <c r="E54" s="289"/>
      <c r="F54" s="289"/>
      <c r="G54" s="289"/>
      <c r="H54" s="289"/>
      <c r="I54" s="290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>
      <c r="A55" s="291" t="s">
        <v>175</v>
      </c>
      <c r="B55" s="210"/>
      <c r="C55" s="210"/>
      <c r="D55" s="210"/>
      <c r="E55" s="210"/>
      <c r="F55" s="210"/>
      <c r="G55" s="210"/>
      <c r="H55" s="210"/>
      <c r="I55" s="292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>
      <c r="A56" s="291" t="s">
        <v>176</v>
      </c>
      <c r="B56" s="65"/>
      <c r="C56" s="65"/>
      <c r="D56" s="65"/>
      <c r="E56" s="65"/>
      <c r="F56" s="65"/>
      <c r="G56" s="65"/>
      <c r="H56" s="65"/>
      <c r="I56" s="29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291" t="s">
        <v>177</v>
      </c>
      <c r="B57" s="65"/>
      <c r="C57" s="65"/>
      <c r="D57" s="65"/>
      <c r="E57" s="65"/>
      <c r="F57" s="65"/>
      <c r="G57" s="65"/>
      <c r="H57" s="65"/>
      <c r="I57" s="29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291" t="s">
        <v>264</v>
      </c>
      <c r="B58" s="65"/>
      <c r="C58" s="65"/>
      <c r="D58" s="65"/>
      <c r="E58" s="65"/>
      <c r="F58" s="65"/>
      <c r="G58" s="65"/>
      <c r="H58" s="65"/>
      <c r="I58" s="29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294" t="s">
        <v>179</v>
      </c>
      <c r="I59" s="295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296" t="s">
        <v>180</v>
      </c>
      <c r="I60" s="295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297" t="s">
        <v>181</v>
      </c>
      <c r="B61" s="139"/>
      <c r="C61" s="65"/>
      <c r="D61" s="65"/>
      <c r="E61" s="65"/>
      <c r="F61" s="65"/>
      <c r="G61" s="65"/>
      <c r="H61" s="65"/>
      <c r="I61" s="29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291" t="s">
        <v>182</v>
      </c>
      <c r="B62" s="65"/>
      <c r="C62" s="65"/>
      <c r="D62" s="65"/>
      <c r="E62" s="65"/>
      <c r="F62" s="65"/>
      <c r="G62" s="65"/>
      <c r="H62" s="65"/>
      <c r="I62" s="29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298" t="s">
        <v>265</v>
      </c>
      <c r="B63" s="299"/>
      <c r="C63" s="299"/>
      <c r="D63" s="299"/>
      <c r="E63" s="299"/>
      <c r="F63" s="299"/>
      <c r="G63" s="299"/>
      <c r="H63" s="299"/>
      <c r="I63" s="300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3.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3.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3.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3.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3.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3.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3.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6:B7"/>
    <mergeCell ref="C6:C7"/>
    <mergeCell ref="A11:C11"/>
    <mergeCell ref="A27:C27"/>
    <mergeCell ref="A33:D33"/>
    <mergeCell ref="A38:D38"/>
    <mergeCell ref="H6:H7"/>
    <mergeCell ref="I6:I7"/>
    <mergeCell ref="A2:E2"/>
    <mergeCell ref="A3:E3"/>
    <mergeCell ref="A4:A5"/>
    <mergeCell ref="B4:B5"/>
    <mergeCell ref="C4:C5"/>
    <mergeCell ref="D4:I4"/>
    <mergeCell ref="A6:A7"/>
    <mergeCell ref="D6:E7"/>
    <mergeCell ref="F6:G6"/>
    <mergeCell ref="F7:G7"/>
    <mergeCell ref="D11:I11"/>
    <mergeCell ref="D26:I26"/>
    <mergeCell ref="D27:I27"/>
    <mergeCell ref="E33:I33"/>
    <mergeCell ref="A60:I60"/>
    <mergeCell ref="A63:I63"/>
    <mergeCell ref="E34:F34"/>
    <mergeCell ref="E35:F35"/>
    <mergeCell ref="G35:I36"/>
    <mergeCell ref="E36:F36"/>
    <mergeCell ref="E38:I38"/>
    <mergeCell ref="A54:I54"/>
    <mergeCell ref="A59:I59"/>
  </mergeCells>
  <printOptions/>
  <pageMargins bottom="0.0" footer="0.0" header="0.0" left="0.11811023622047245" right="0.0" top="0.15748031496062992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99"/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0.0"/>
    <col customWidth="1" min="3" max="3" width="55.29"/>
    <col customWidth="1" min="4" max="4" width="11.29"/>
    <col customWidth="1" min="5" max="5" width="10.43"/>
    <col customWidth="1" min="6" max="7" width="12.29"/>
    <col customWidth="1" min="8" max="8" width="7.71"/>
    <col customWidth="1" min="9" max="9" width="10.29"/>
    <col customWidth="1" min="10" max="10" width="11.71"/>
    <col customWidth="1" min="11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3"/>
      <c r="J1" s="24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266</v>
      </c>
      <c r="B2" s="26"/>
      <c r="C2" s="26"/>
      <c r="D2" s="26"/>
      <c r="E2" s="26"/>
      <c r="F2" s="23"/>
      <c r="G2" s="23"/>
      <c r="H2" s="23"/>
      <c r="I2" s="23"/>
      <c r="J2" s="24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71</v>
      </c>
      <c r="B3" s="28"/>
      <c r="C3" s="28"/>
      <c r="D3" s="28"/>
      <c r="E3" s="28"/>
      <c r="F3" s="29" t="s">
        <v>72</v>
      </c>
      <c r="G3" s="23"/>
      <c r="H3" s="23"/>
      <c r="I3" s="23"/>
      <c r="J3" s="24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301" t="s">
        <v>73</v>
      </c>
      <c r="B4" s="301" t="s">
        <v>5</v>
      </c>
      <c r="C4" s="301" t="s">
        <v>74</v>
      </c>
      <c r="D4" s="302" t="s">
        <v>185</v>
      </c>
      <c r="E4" s="5"/>
      <c r="F4" s="5"/>
      <c r="G4" s="5"/>
      <c r="H4" s="5"/>
      <c r="I4" s="6"/>
      <c r="J4" s="24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2"/>
      <c r="B5" s="33"/>
      <c r="C5" s="32"/>
      <c r="D5" s="303" t="s">
        <v>76</v>
      </c>
      <c r="E5" s="304" t="s">
        <v>77</v>
      </c>
      <c r="F5" s="304" t="s">
        <v>78</v>
      </c>
      <c r="G5" s="304" t="s">
        <v>79</v>
      </c>
      <c r="H5" s="304" t="s">
        <v>80</v>
      </c>
      <c r="I5" s="304" t="s">
        <v>81</v>
      </c>
      <c r="J5" s="24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305" t="s">
        <v>267</v>
      </c>
      <c r="B6" s="38"/>
      <c r="C6" s="39"/>
      <c r="D6" s="40" t="s">
        <v>82</v>
      </c>
      <c r="E6" s="39"/>
      <c r="F6" s="41" t="s">
        <v>83</v>
      </c>
      <c r="G6" s="26"/>
      <c r="H6" s="142" t="s">
        <v>186</v>
      </c>
      <c r="I6" s="43" t="s">
        <v>85</v>
      </c>
      <c r="J6" s="24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2.0" customHeight="1">
      <c r="A7" s="44"/>
      <c r="B7" s="45"/>
      <c r="C7" s="46"/>
      <c r="D7" s="47"/>
      <c r="E7" s="46"/>
      <c r="F7" s="48" t="s">
        <v>86</v>
      </c>
      <c r="G7" s="26"/>
      <c r="H7" s="32"/>
      <c r="I7" s="32"/>
      <c r="J7" s="24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4.75" customHeight="1">
      <c r="A8" s="49" t="s">
        <v>268</v>
      </c>
      <c r="B8" s="50" t="s">
        <v>269</v>
      </c>
      <c r="C8" s="51" t="s">
        <v>270</v>
      </c>
      <c r="D8" s="52">
        <v>2250.0</v>
      </c>
      <c r="E8" s="53" t="s">
        <v>271</v>
      </c>
      <c r="F8" s="53" t="s">
        <v>271</v>
      </c>
      <c r="G8" s="53" t="s">
        <v>271</v>
      </c>
      <c r="H8" s="53" t="s">
        <v>271</v>
      </c>
      <c r="I8" s="53">
        <v>350.0</v>
      </c>
      <c r="J8" s="55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24.75" customHeight="1">
      <c r="A9" s="149" t="s">
        <v>93</v>
      </c>
      <c r="B9" s="150" t="s">
        <v>272</v>
      </c>
      <c r="C9" s="151" t="s">
        <v>273</v>
      </c>
      <c r="D9" s="52">
        <v>2650.0</v>
      </c>
      <c r="E9" s="53" t="s">
        <v>271</v>
      </c>
      <c r="F9" s="53" t="s">
        <v>271</v>
      </c>
      <c r="G9" s="53" t="s">
        <v>271</v>
      </c>
      <c r="H9" s="53" t="s">
        <v>271</v>
      </c>
      <c r="I9" s="53">
        <v>450.0</v>
      </c>
      <c r="J9" s="55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302" t="s">
        <v>96</v>
      </c>
      <c r="B10" s="5"/>
      <c r="C10" s="6"/>
      <c r="D10" s="302" t="s">
        <v>97</v>
      </c>
      <c r="E10" s="5"/>
      <c r="F10" s="5"/>
      <c r="G10" s="5"/>
      <c r="H10" s="5"/>
      <c r="I10" s="6"/>
      <c r="J10" s="24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152" t="s">
        <v>98</v>
      </c>
      <c r="B11" s="38"/>
      <c r="C11" s="39"/>
      <c r="D11" s="153" t="s">
        <v>99</v>
      </c>
      <c r="E11" s="62"/>
      <c r="F11" s="62"/>
      <c r="G11" s="62"/>
      <c r="H11" s="62"/>
      <c r="I11" s="63"/>
      <c r="J11" s="24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64" t="s">
        <v>191</v>
      </c>
      <c r="B12" s="65"/>
      <c r="C12" s="66"/>
      <c r="D12" s="64" t="s">
        <v>101</v>
      </c>
      <c r="E12" s="65"/>
      <c r="F12" s="65"/>
      <c r="G12" s="65"/>
      <c r="H12" s="65"/>
      <c r="I12" s="67"/>
      <c r="J12" s="24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60" t="s">
        <v>213</v>
      </c>
      <c r="C13" s="61"/>
      <c r="D13" s="68" t="s">
        <v>103</v>
      </c>
      <c r="E13" s="65"/>
      <c r="F13" s="65"/>
      <c r="G13" s="65"/>
      <c r="H13" s="65"/>
      <c r="I13" s="67"/>
      <c r="J13" s="24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69" t="s">
        <v>104</v>
      </c>
      <c r="C14" s="61"/>
      <c r="D14" s="68" t="s">
        <v>105</v>
      </c>
      <c r="E14" s="65"/>
      <c r="F14" s="65"/>
      <c r="G14" s="65"/>
      <c r="H14" s="65"/>
      <c r="I14" s="67"/>
      <c r="J14" s="24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69" t="s">
        <v>106</v>
      </c>
      <c r="D15" s="70" t="s">
        <v>107</v>
      </c>
      <c r="E15" s="65"/>
      <c r="F15" s="65"/>
      <c r="G15" s="65"/>
      <c r="H15" s="65"/>
      <c r="I15" s="67"/>
      <c r="J15" s="24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71" t="s">
        <v>274</v>
      </c>
      <c r="B16" s="23"/>
      <c r="C16" s="66"/>
      <c r="D16" s="73" t="s">
        <v>109</v>
      </c>
      <c r="E16" s="74"/>
      <c r="F16" s="74"/>
      <c r="G16" s="74"/>
      <c r="H16" s="74"/>
      <c r="I16" s="75"/>
      <c r="J16" s="24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71" t="s">
        <v>275</v>
      </c>
      <c r="B17" s="23"/>
      <c r="C17" s="66"/>
      <c r="D17" s="68"/>
      <c r="E17" s="65"/>
      <c r="F17" s="65"/>
      <c r="G17" s="65"/>
      <c r="H17" s="65"/>
      <c r="I17" s="67"/>
      <c r="J17" s="2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71" t="s">
        <v>276</v>
      </c>
      <c r="B18" s="23"/>
      <c r="C18" s="72"/>
      <c r="D18" s="65"/>
      <c r="E18" s="65"/>
      <c r="F18" s="65"/>
      <c r="G18" s="65"/>
      <c r="H18" s="65"/>
      <c r="I18" s="67"/>
      <c r="J18" s="2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71" t="s">
        <v>277</v>
      </c>
      <c r="B19" s="23"/>
      <c r="C19" s="72"/>
      <c r="D19" s="64"/>
      <c r="E19" s="65"/>
      <c r="F19" s="65"/>
      <c r="G19" s="65"/>
      <c r="H19" s="65"/>
      <c r="I19" s="67"/>
      <c r="J19" s="24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71" t="s">
        <v>278</v>
      </c>
      <c r="B20" s="23"/>
      <c r="C20" s="72"/>
      <c r="D20" s="64"/>
      <c r="E20" s="65"/>
      <c r="F20" s="65"/>
      <c r="G20" s="65"/>
      <c r="H20" s="65"/>
      <c r="I20" s="67"/>
      <c r="J20" s="24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71" t="s">
        <v>279</v>
      </c>
      <c r="B21" s="23"/>
      <c r="C21" s="72"/>
      <c r="D21" s="64"/>
      <c r="E21" s="65"/>
      <c r="F21" s="65"/>
      <c r="G21" s="65"/>
      <c r="H21" s="65"/>
      <c r="I21" s="67"/>
      <c r="J21" s="24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4.25" customHeight="1">
      <c r="A22" s="71" t="s">
        <v>280</v>
      </c>
      <c r="B22" s="23"/>
      <c r="C22" s="72"/>
      <c r="D22" s="64"/>
      <c r="E22" s="65"/>
      <c r="F22" s="65"/>
      <c r="G22" s="65"/>
      <c r="H22" s="65"/>
      <c r="I22" s="67"/>
      <c r="J22" s="24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71" t="s">
        <v>281</v>
      </c>
      <c r="B23" s="23"/>
      <c r="C23" s="72"/>
      <c r="D23" s="64"/>
      <c r="E23" s="65"/>
      <c r="F23" s="65"/>
      <c r="G23" s="65"/>
      <c r="H23" s="65"/>
      <c r="I23" s="67"/>
      <c r="J23" s="24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64" t="s">
        <v>282</v>
      </c>
      <c r="B24" s="23"/>
      <c r="C24" s="72"/>
      <c r="D24" s="64"/>
      <c r="E24" s="65"/>
      <c r="F24" s="65"/>
      <c r="G24" s="65"/>
      <c r="H24" s="65"/>
      <c r="I24" s="67"/>
      <c r="J24" s="24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71" t="s">
        <v>283</v>
      </c>
      <c r="B25" s="23"/>
      <c r="C25" s="72"/>
      <c r="D25" s="64"/>
      <c r="E25" s="65"/>
      <c r="F25" s="65"/>
      <c r="G25" s="65"/>
      <c r="H25" s="65"/>
      <c r="I25" s="67"/>
      <c r="J25" s="24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4.25" customHeight="1">
      <c r="A26" s="155"/>
      <c r="B26" s="156"/>
      <c r="C26" s="136"/>
      <c r="D26" s="78"/>
      <c r="E26" s="101"/>
      <c r="F26" s="101"/>
      <c r="G26" s="101"/>
      <c r="H26" s="101"/>
      <c r="I26" s="157"/>
      <c r="J26" s="24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6.5" customHeight="1">
      <c r="A27" s="306" t="s">
        <v>284</v>
      </c>
      <c r="B27" s="5"/>
      <c r="C27" s="5"/>
      <c r="D27" s="307"/>
      <c r="E27" s="5"/>
      <c r="F27" s="5"/>
      <c r="G27" s="5"/>
      <c r="H27" s="5"/>
      <c r="I27" s="6"/>
      <c r="J27" s="24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3.5" customHeight="1">
      <c r="A28" s="81" t="s">
        <v>114</v>
      </c>
      <c r="B28" s="82"/>
      <c r="C28" s="82" t="s">
        <v>115</v>
      </c>
      <c r="D28" s="83" t="s">
        <v>137</v>
      </c>
      <c r="E28" s="83"/>
      <c r="F28" s="83"/>
      <c r="G28" s="83"/>
      <c r="H28" s="83"/>
      <c r="I28" s="84"/>
      <c r="J28" s="24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3.5" customHeight="1">
      <c r="A29" s="69" t="s">
        <v>117</v>
      </c>
      <c r="B29" s="85"/>
      <c r="C29" s="85" t="s">
        <v>224</v>
      </c>
      <c r="D29" s="85" t="s">
        <v>225</v>
      </c>
      <c r="E29" s="85"/>
      <c r="F29" s="85"/>
      <c r="G29" s="85"/>
      <c r="H29" s="85"/>
      <c r="I29" s="66"/>
      <c r="J29" s="24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3.5" customHeight="1">
      <c r="A30" s="69" t="s">
        <v>121</v>
      </c>
      <c r="B30" s="85"/>
      <c r="C30" s="85" t="s">
        <v>118</v>
      </c>
      <c r="D30" s="85" t="s">
        <v>227</v>
      </c>
      <c r="E30" s="85"/>
      <c r="F30" s="85"/>
      <c r="G30" s="85"/>
      <c r="H30" s="85"/>
      <c r="I30" s="66"/>
      <c r="J30" s="24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3.5" customHeight="1">
      <c r="A31" s="160" t="s">
        <v>194</v>
      </c>
      <c r="B31" s="161"/>
      <c r="C31" s="161" t="s">
        <v>122</v>
      </c>
      <c r="D31" s="161" t="s">
        <v>119</v>
      </c>
      <c r="E31" s="161"/>
      <c r="F31" s="161"/>
      <c r="G31" s="161"/>
      <c r="H31" s="161"/>
      <c r="I31" s="162"/>
      <c r="J31" s="24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6.5" customHeight="1">
      <c r="A32" s="302" t="s">
        <v>285</v>
      </c>
      <c r="B32" s="5"/>
      <c r="C32" s="5"/>
      <c r="D32" s="5"/>
      <c r="E32" s="308" t="s">
        <v>124</v>
      </c>
      <c r="F32" s="5"/>
      <c r="G32" s="5"/>
      <c r="H32" s="5"/>
      <c r="I32" s="6"/>
      <c r="J32" s="24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ht="28.5" customHeight="1">
      <c r="A33" s="92" t="s">
        <v>125</v>
      </c>
      <c r="B33" s="93" t="s">
        <v>126</v>
      </c>
      <c r="C33" s="94" t="s">
        <v>196</v>
      </c>
      <c r="D33" s="95"/>
      <c r="E33" s="96" t="s">
        <v>128</v>
      </c>
      <c r="F33" s="5"/>
      <c r="G33" s="97"/>
      <c r="H33" s="97"/>
      <c r="I33" s="151"/>
      <c r="J33" s="24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ht="40.5" customHeight="1">
      <c r="A34" s="99" t="s">
        <v>119</v>
      </c>
      <c r="B34" s="100" t="s">
        <v>129</v>
      </c>
      <c r="C34" s="101" t="s">
        <v>130</v>
      </c>
      <c r="D34" s="102"/>
      <c r="E34" s="96" t="s">
        <v>131</v>
      </c>
      <c r="F34" s="6"/>
      <c r="G34" s="309" t="s">
        <v>229</v>
      </c>
      <c r="H34" s="38"/>
      <c r="I34" s="39"/>
      <c r="J34" s="24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28.5" customHeight="1">
      <c r="A35" s="105" t="s">
        <v>133</v>
      </c>
      <c r="B35" s="100" t="s">
        <v>134</v>
      </c>
      <c r="C35" s="106" t="s">
        <v>135</v>
      </c>
      <c r="D35" s="107"/>
      <c r="E35" s="96" t="s">
        <v>136</v>
      </c>
      <c r="F35" s="6"/>
      <c r="I35" s="61"/>
      <c r="J35" s="24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ht="13.5" customHeight="1">
      <c r="A36" s="302" t="s">
        <v>148</v>
      </c>
      <c r="B36" s="5"/>
      <c r="C36" s="5"/>
      <c r="D36" s="6"/>
      <c r="E36" s="310" t="s">
        <v>149</v>
      </c>
      <c r="F36" s="89"/>
      <c r="G36" s="89"/>
      <c r="H36" s="89"/>
      <c r="I36" s="90"/>
      <c r="J36" s="24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ht="13.5" customHeight="1">
      <c r="A37" s="116" t="s">
        <v>286</v>
      </c>
      <c r="B37" s="117"/>
      <c r="C37" s="91"/>
      <c r="D37" s="165"/>
      <c r="E37" s="118">
        <v>1.0</v>
      </c>
      <c r="F37" s="62" t="s">
        <v>151</v>
      </c>
      <c r="G37" s="62"/>
      <c r="H37" s="119"/>
      <c r="I37" s="120"/>
      <c r="J37" s="24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ht="13.5" customHeight="1">
      <c r="A38" s="116" t="s">
        <v>287</v>
      </c>
      <c r="B38" s="117"/>
      <c r="C38" s="91"/>
      <c r="D38" s="165"/>
      <c r="E38" s="121">
        <v>0.5</v>
      </c>
      <c r="F38" s="122" t="s">
        <v>153</v>
      </c>
      <c r="G38" s="122"/>
      <c r="H38" s="123"/>
      <c r="I38" s="124"/>
      <c r="J38" s="24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3.5" customHeight="1">
      <c r="A39" s="125" t="s">
        <v>288</v>
      </c>
      <c r="B39" s="126"/>
      <c r="C39" s="23"/>
      <c r="D39" s="72"/>
      <c r="E39" s="121">
        <v>0.0</v>
      </c>
      <c r="F39" s="122" t="s">
        <v>155</v>
      </c>
      <c r="G39" s="122"/>
      <c r="H39" s="123"/>
      <c r="I39" s="124"/>
      <c r="J39" s="24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3.5" customHeight="1">
      <c r="A40" s="127" t="s">
        <v>289</v>
      </c>
      <c r="B40" s="128"/>
      <c r="C40" s="23"/>
      <c r="D40" s="72"/>
      <c r="E40" s="129"/>
      <c r="F40" s="65"/>
      <c r="G40" s="65"/>
      <c r="H40" s="130"/>
      <c r="I40" s="131"/>
      <c r="J40" s="24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3.5" customHeight="1">
      <c r="A41" s="127" t="s">
        <v>290</v>
      </c>
      <c r="B41" s="128"/>
      <c r="C41" s="23"/>
      <c r="D41" s="72"/>
      <c r="E41" s="71"/>
      <c r="F41" s="23"/>
      <c r="G41" s="23"/>
      <c r="H41" s="23"/>
      <c r="I41" s="72"/>
      <c r="J41" s="24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3.5" customHeight="1">
      <c r="A42" s="127" t="s">
        <v>291</v>
      </c>
      <c r="B42" s="128"/>
      <c r="C42" s="23"/>
      <c r="D42" s="72"/>
      <c r="E42" s="71"/>
      <c r="F42" s="23"/>
      <c r="G42" s="23"/>
      <c r="H42" s="23"/>
      <c r="I42" s="72"/>
      <c r="J42" s="24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3.5" customHeight="1">
      <c r="A43" s="127" t="s">
        <v>292</v>
      </c>
      <c r="B43" s="128"/>
      <c r="C43" s="23"/>
      <c r="D43" s="72"/>
      <c r="E43" s="71"/>
      <c r="F43" s="23"/>
      <c r="G43" s="23"/>
      <c r="H43" s="23"/>
      <c r="I43" s="72"/>
      <c r="J43" s="24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3.5" customHeight="1">
      <c r="A44" s="127" t="s">
        <v>293</v>
      </c>
      <c r="B44" s="128"/>
      <c r="C44" s="23"/>
      <c r="D44" s="72"/>
      <c r="E44" s="71"/>
      <c r="F44" s="23"/>
      <c r="G44" s="23"/>
      <c r="H44" s="23"/>
      <c r="I44" s="72"/>
      <c r="J44" s="24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3.5" customHeight="1">
      <c r="A45" s="132" t="s">
        <v>161</v>
      </c>
      <c r="B45" s="133"/>
      <c r="C45" s="23"/>
      <c r="D45" s="72"/>
      <c r="E45" s="71"/>
      <c r="F45" s="23"/>
      <c r="G45" s="23"/>
      <c r="H45" s="23"/>
      <c r="I45" s="72"/>
      <c r="J45" s="24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3.5" customHeight="1">
      <c r="A46" s="125" t="s">
        <v>294</v>
      </c>
      <c r="B46" s="126"/>
      <c r="C46" s="134" t="s">
        <v>163</v>
      </c>
      <c r="D46" s="72"/>
      <c r="E46" s="71"/>
      <c r="F46" s="23"/>
      <c r="G46" s="23"/>
      <c r="H46" s="23"/>
      <c r="I46" s="72"/>
      <c r="J46" s="24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3.5" customHeight="1">
      <c r="A47" s="71" t="s">
        <v>164</v>
      </c>
      <c r="B47" s="23"/>
      <c r="C47" s="135" t="s">
        <v>165</v>
      </c>
      <c r="D47" s="72"/>
      <c r="E47" s="71"/>
      <c r="F47" s="23"/>
      <c r="G47" s="23"/>
      <c r="H47" s="23"/>
      <c r="I47" s="72"/>
      <c r="J47" s="24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3.5" customHeight="1">
      <c r="A48" s="71" t="s">
        <v>166</v>
      </c>
      <c r="B48" s="23"/>
      <c r="C48" s="135" t="s">
        <v>167</v>
      </c>
      <c r="D48" s="72"/>
      <c r="E48" s="71"/>
      <c r="F48" s="23"/>
      <c r="G48" s="23"/>
      <c r="H48" s="23"/>
      <c r="I48" s="72"/>
      <c r="J48" s="24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3.5" customHeight="1">
      <c r="A49" s="71" t="s">
        <v>168</v>
      </c>
      <c r="B49" s="23"/>
      <c r="C49" s="135" t="s">
        <v>169</v>
      </c>
      <c r="D49" s="72"/>
      <c r="E49" s="71"/>
      <c r="F49" s="23"/>
      <c r="G49" s="23"/>
      <c r="H49" s="23"/>
      <c r="I49" s="72"/>
      <c r="J49" s="24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3.5" customHeight="1">
      <c r="A50" s="71" t="s">
        <v>170</v>
      </c>
      <c r="B50" s="23"/>
      <c r="C50" s="23" t="s">
        <v>171</v>
      </c>
      <c r="D50" s="72"/>
      <c r="E50" s="71"/>
      <c r="F50" s="23"/>
      <c r="G50" s="23"/>
      <c r="H50" s="23"/>
      <c r="I50" s="72"/>
      <c r="J50" s="24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3.5" customHeight="1">
      <c r="A51" s="86" t="s">
        <v>172</v>
      </c>
      <c r="B51" s="87"/>
      <c r="C51" s="87" t="s">
        <v>173</v>
      </c>
      <c r="D51" s="136"/>
      <c r="E51" s="86"/>
      <c r="F51" s="87"/>
      <c r="G51" s="87"/>
      <c r="H51" s="87"/>
      <c r="I51" s="136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3.5" customHeight="1">
      <c r="A52" s="302" t="s">
        <v>174</v>
      </c>
      <c r="B52" s="5"/>
      <c r="C52" s="5"/>
      <c r="D52" s="5"/>
      <c r="E52" s="5"/>
      <c r="F52" s="5"/>
      <c r="G52" s="5"/>
      <c r="H52" s="5"/>
      <c r="I52" s="6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64" t="s">
        <v>175</v>
      </c>
      <c r="B53" s="65"/>
      <c r="C53" s="65"/>
      <c r="D53" s="65"/>
      <c r="E53" s="65"/>
      <c r="F53" s="65"/>
      <c r="G53" s="65"/>
      <c r="H53" s="65"/>
      <c r="I53" s="67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64" t="s">
        <v>176</v>
      </c>
      <c r="B54" s="65"/>
      <c r="C54" s="65"/>
      <c r="D54" s="65"/>
      <c r="E54" s="65"/>
      <c r="F54" s="65"/>
      <c r="G54" s="65"/>
      <c r="H54" s="65"/>
      <c r="I54" s="67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64" t="s">
        <v>177</v>
      </c>
      <c r="B55" s="65"/>
      <c r="C55" s="65"/>
      <c r="D55" s="65"/>
      <c r="E55" s="65"/>
      <c r="F55" s="65"/>
      <c r="G55" s="65"/>
      <c r="H55" s="65"/>
      <c r="I55" s="67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64" t="s">
        <v>295</v>
      </c>
      <c r="B56" s="65"/>
      <c r="C56" s="65"/>
      <c r="D56" s="65"/>
      <c r="E56" s="65"/>
      <c r="F56" s="65"/>
      <c r="G56" s="65"/>
      <c r="H56" s="65"/>
      <c r="I56" s="67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60" t="s">
        <v>179</v>
      </c>
      <c r="I57" s="61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137" t="s">
        <v>180</v>
      </c>
      <c r="I58" s="61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138" t="s">
        <v>181</v>
      </c>
      <c r="B59" s="139"/>
      <c r="C59" s="65"/>
      <c r="D59" s="65"/>
      <c r="E59" s="65"/>
      <c r="F59" s="65"/>
      <c r="G59" s="65"/>
      <c r="H59" s="65"/>
      <c r="I59" s="67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64" t="s">
        <v>182</v>
      </c>
      <c r="B60" s="65"/>
      <c r="C60" s="65"/>
      <c r="D60" s="65"/>
      <c r="E60" s="65"/>
      <c r="F60" s="65"/>
      <c r="G60" s="65"/>
      <c r="H60" s="65"/>
      <c r="I60" s="67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78" t="s">
        <v>296</v>
      </c>
      <c r="B61" s="45"/>
      <c r="C61" s="45"/>
      <c r="D61" s="45"/>
      <c r="E61" s="45"/>
      <c r="F61" s="45"/>
      <c r="G61" s="45"/>
      <c r="H61" s="45"/>
      <c r="I61" s="46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4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4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3.5" customHeight="1">
      <c r="A64" s="23"/>
      <c r="B64" s="23"/>
      <c r="C64" s="23"/>
      <c r="D64" s="23"/>
      <c r="E64" s="23"/>
      <c r="F64" s="23"/>
      <c r="G64" s="23"/>
      <c r="H64" s="23"/>
      <c r="I64" s="23"/>
      <c r="J64" s="24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3.5" customHeight="1">
      <c r="A65" s="23"/>
      <c r="B65" s="23"/>
      <c r="C65" s="23"/>
      <c r="D65" s="23"/>
      <c r="E65" s="23"/>
      <c r="F65" s="23"/>
      <c r="G65" s="23"/>
      <c r="H65" s="23"/>
      <c r="I65" s="23"/>
      <c r="J65" s="24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3.5" customHeight="1">
      <c r="A66" s="23"/>
      <c r="B66" s="23"/>
      <c r="C66" s="23"/>
      <c r="D66" s="23"/>
      <c r="E66" s="23"/>
      <c r="F66" s="23"/>
      <c r="G66" s="23"/>
      <c r="H66" s="23"/>
      <c r="I66" s="23"/>
      <c r="J66" s="24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3.5" customHeight="1">
      <c r="A67" s="23"/>
      <c r="B67" s="23"/>
      <c r="C67" s="23"/>
      <c r="D67" s="23"/>
      <c r="E67" s="23"/>
      <c r="F67" s="23"/>
      <c r="G67" s="23"/>
      <c r="H67" s="23"/>
      <c r="I67" s="23"/>
      <c r="J67" s="24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3.5" customHeight="1">
      <c r="A68" s="23"/>
      <c r="B68" s="23"/>
      <c r="C68" s="23"/>
      <c r="D68" s="23"/>
      <c r="E68" s="23"/>
      <c r="F68" s="23"/>
      <c r="G68" s="23"/>
      <c r="H68" s="23"/>
      <c r="I68" s="23"/>
      <c r="J68" s="24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3.5" customHeight="1">
      <c r="A69" s="23"/>
      <c r="B69" s="23"/>
      <c r="C69" s="23"/>
      <c r="D69" s="23"/>
      <c r="E69" s="23"/>
      <c r="F69" s="23"/>
      <c r="G69" s="23"/>
      <c r="H69" s="23"/>
      <c r="I69" s="23"/>
      <c r="J69" s="24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3.5" customHeight="1">
      <c r="A70" s="23"/>
      <c r="B70" s="23"/>
      <c r="C70" s="23"/>
      <c r="D70" s="23"/>
      <c r="E70" s="23"/>
      <c r="F70" s="23"/>
      <c r="G70" s="23"/>
      <c r="H70" s="23"/>
      <c r="I70" s="23"/>
      <c r="J70" s="24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3.5" customHeight="1">
      <c r="A71" s="23"/>
      <c r="B71" s="23"/>
      <c r="C71" s="23"/>
      <c r="D71" s="23"/>
      <c r="E71" s="23"/>
      <c r="F71" s="23"/>
      <c r="G71" s="23"/>
      <c r="H71" s="23"/>
      <c r="I71" s="23"/>
      <c r="J71" s="24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3"/>
      <c r="J72" s="24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3"/>
      <c r="J73" s="24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3"/>
      <c r="J74" s="24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3"/>
      <c r="J75" s="24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3"/>
      <c r="J76" s="24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3"/>
      <c r="J77" s="24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3"/>
      <c r="J78" s="24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3"/>
      <c r="J79" s="24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3"/>
      <c r="J80" s="24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3"/>
      <c r="J81" s="24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3"/>
      <c r="J82" s="24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3"/>
      <c r="J83" s="24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3"/>
      <c r="J84" s="24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4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3"/>
      <c r="J86" s="24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3"/>
      <c r="J87" s="24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3"/>
      <c r="J88" s="24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3"/>
      <c r="J89" s="24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3"/>
      <c r="J90" s="24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3"/>
      <c r="J91" s="24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3"/>
      <c r="J92" s="24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3"/>
      <c r="J93" s="24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3"/>
      <c r="J94" s="24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3"/>
      <c r="J95" s="24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3"/>
      <c r="J96" s="24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3"/>
      <c r="J97" s="24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3"/>
      <c r="J98" s="24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3"/>
      <c r="J99" s="24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4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4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4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4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4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4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4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4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4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4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4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4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4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4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4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4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4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4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4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4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4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4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4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4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4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4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4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4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4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4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4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4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4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4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4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4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4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4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4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4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4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4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4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4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4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4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4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4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4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4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4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4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4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4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4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4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4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4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4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4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4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4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4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4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4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4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4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4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4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4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4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4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4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4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4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4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4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4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4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4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4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4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4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4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4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4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4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4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4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4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4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4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4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4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4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4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4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4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4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4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4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4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4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4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4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4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4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4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4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4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4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4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4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4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4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4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4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4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4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4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4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4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4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4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4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4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4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4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4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4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4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4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4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4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4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4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4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4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4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4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4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4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4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4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4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4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4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4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4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4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4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4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4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4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4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4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4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4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4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4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4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4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D6:E7"/>
    <mergeCell ref="F6:G6"/>
    <mergeCell ref="F7:G7"/>
    <mergeCell ref="H6:H7"/>
    <mergeCell ref="I6:I7"/>
    <mergeCell ref="A2:E2"/>
    <mergeCell ref="A3:E3"/>
    <mergeCell ref="A4:A5"/>
    <mergeCell ref="B4:B5"/>
    <mergeCell ref="C4:C5"/>
    <mergeCell ref="D4:I4"/>
    <mergeCell ref="A6:C7"/>
    <mergeCell ref="A10:C10"/>
    <mergeCell ref="D10:I10"/>
    <mergeCell ref="A11:C11"/>
    <mergeCell ref="A13:C13"/>
    <mergeCell ref="A14:C14"/>
    <mergeCell ref="A15:C15"/>
    <mergeCell ref="D27:I27"/>
    <mergeCell ref="A36:D36"/>
    <mergeCell ref="E36:I36"/>
    <mergeCell ref="A52:I52"/>
    <mergeCell ref="A57:I57"/>
    <mergeCell ref="A58:I58"/>
    <mergeCell ref="A61:I61"/>
    <mergeCell ref="A27:C27"/>
    <mergeCell ref="A32:D32"/>
    <mergeCell ref="E32:I32"/>
    <mergeCell ref="E33:F33"/>
    <mergeCell ref="E34:F34"/>
    <mergeCell ref="G34:I35"/>
    <mergeCell ref="E35:F35"/>
  </mergeCells>
  <printOptions/>
  <pageMargins bottom="0.0" footer="0.0" header="0.0" left="0.11811023622047245" right="0.0" top="0.1968503937007874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99"/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5.29"/>
    <col customWidth="1" min="3" max="3" width="11.29"/>
    <col customWidth="1" min="4" max="4" width="10.43"/>
    <col customWidth="1" min="5" max="6" width="12.29"/>
    <col customWidth="1" min="7" max="7" width="7.71"/>
    <col customWidth="1" min="8" max="8" width="11.29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297</v>
      </c>
      <c r="B2" s="26"/>
      <c r="C2" s="26"/>
      <c r="D2" s="26"/>
      <c r="E2" s="23"/>
      <c r="F2" s="23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311" t="s">
        <v>71</v>
      </c>
      <c r="B3" s="312"/>
      <c r="C3" s="312"/>
      <c r="D3" s="312"/>
      <c r="E3" s="29" t="s">
        <v>72</v>
      </c>
      <c r="F3" s="23"/>
      <c r="G3" s="23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313" t="s">
        <v>73</v>
      </c>
      <c r="B4" s="313" t="s">
        <v>74</v>
      </c>
      <c r="C4" s="314" t="s">
        <v>185</v>
      </c>
      <c r="D4" s="315"/>
      <c r="E4" s="315"/>
      <c r="F4" s="315"/>
      <c r="G4" s="315"/>
      <c r="H4" s="31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17"/>
      <c r="B5" s="317"/>
      <c r="C5" s="318" t="s">
        <v>76</v>
      </c>
      <c r="D5" s="319" t="s">
        <v>77</v>
      </c>
      <c r="E5" s="320" t="s">
        <v>78</v>
      </c>
      <c r="F5" s="320" t="s">
        <v>79</v>
      </c>
      <c r="G5" s="319" t="s">
        <v>80</v>
      </c>
      <c r="H5" s="319" t="s">
        <v>81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321" t="s">
        <v>298</v>
      </c>
      <c r="B6" s="322"/>
      <c r="C6" s="323" t="s">
        <v>82</v>
      </c>
      <c r="D6" s="324"/>
      <c r="E6" s="325" t="s">
        <v>83</v>
      </c>
      <c r="F6" s="326"/>
      <c r="G6" s="327" t="s">
        <v>186</v>
      </c>
      <c r="H6" s="328" t="s">
        <v>85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3.5" customHeight="1">
      <c r="A7" s="329"/>
      <c r="B7" s="330"/>
      <c r="C7" s="329"/>
      <c r="D7" s="331"/>
      <c r="E7" s="332" t="s">
        <v>86</v>
      </c>
      <c r="F7" s="333"/>
      <c r="G7" s="334"/>
      <c r="H7" s="317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4.75" customHeight="1">
      <c r="A8" s="335" t="s">
        <v>93</v>
      </c>
      <c r="B8" s="336" t="s">
        <v>273</v>
      </c>
      <c r="C8" s="337">
        <v>3125.0</v>
      </c>
      <c r="D8" s="338" t="s">
        <v>271</v>
      </c>
      <c r="E8" s="339" t="s">
        <v>271</v>
      </c>
      <c r="F8" s="339" t="s">
        <v>271</v>
      </c>
      <c r="G8" s="338" t="s">
        <v>271</v>
      </c>
      <c r="H8" s="338">
        <v>450.0</v>
      </c>
      <c r="I8" s="55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340" t="s">
        <v>96</v>
      </c>
      <c r="B9" s="341"/>
      <c r="C9" s="342" t="s">
        <v>97</v>
      </c>
      <c r="D9" s="26"/>
      <c r="E9" s="26"/>
      <c r="F9" s="26"/>
      <c r="G9" s="26"/>
      <c r="H9" s="34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4.25" customHeight="1">
      <c r="A10" s="344" t="s">
        <v>98</v>
      </c>
      <c r="B10" s="324"/>
      <c r="C10" s="209" t="s">
        <v>99</v>
      </c>
      <c r="D10" s="210"/>
      <c r="E10" s="210"/>
      <c r="F10" s="210"/>
      <c r="G10" s="210"/>
      <c r="H10" s="211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91" t="s">
        <v>246</v>
      </c>
      <c r="B11" s="85"/>
      <c r="C11" s="212" t="s">
        <v>101</v>
      </c>
      <c r="D11" s="65"/>
      <c r="E11" s="65"/>
      <c r="F11" s="65"/>
      <c r="G11" s="65"/>
      <c r="H11" s="21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294" t="s">
        <v>213</v>
      </c>
      <c r="C12" s="214" t="s">
        <v>103</v>
      </c>
      <c r="D12" s="65"/>
      <c r="E12" s="65"/>
      <c r="F12" s="65"/>
      <c r="G12" s="65"/>
      <c r="H12" s="213"/>
      <c r="I12" s="24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345" t="s">
        <v>104</v>
      </c>
      <c r="C13" s="214" t="s">
        <v>105</v>
      </c>
      <c r="D13" s="65"/>
      <c r="E13" s="65"/>
      <c r="F13" s="65"/>
      <c r="G13" s="65"/>
      <c r="H13" s="213"/>
      <c r="I13" s="24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345" t="s">
        <v>106</v>
      </c>
      <c r="C14" s="214" t="s">
        <v>107</v>
      </c>
      <c r="D14" s="65"/>
      <c r="E14" s="65"/>
      <c r="F14" s="65"/>
      <c r="G14" s="65"/>
      <c r="H14" s="213"/>
      <c r="I14" s="24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284" t="s">
        <v>299</v>
      </c>
      <c r="B15" s="85"/>
      <c r="C15" s="216" t="s">
        <v>109</v>
      </c>
      <c r="D15" s="74"/>
      <c r="E15" s="74"/>
      <c r="F15" s="74"/>
      <c r="G15" s="74"/>
      <c r="H15" s="217"/>
      <c r="I15" s="24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284" t="s">
        <v>300</v>
      </c>
      <c r="B16" s="85"/>
      <c r="C16" s="214"/>
      <c r="D16" s="65"/>
      <c r="E16" s="65"/>
      <c r="F16" s="65"/>
      <c r="G16" s="65"/>
      <c r="H16" s="213"/>
      <c r="I16" s="24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284" t="s">
        <v>301</v>
      </c>
      <c r="B17" s="85"/>
      <c r="C17" s="212"/>
      <c r="D17" s="65"/>
      <c r="E17" s="65"/>
      <c r="F17" s="65"/>
      <c r="G17" s="65"/>
      <c r="H17" s="213"/>
      <c r="I17" s="24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284" t="s">
        <v>302</v>
      </c>
      <c r="B18" s="23"/>
      <c r="C18" s="214"/>
      <c r="D18" s="346"/>
      <c r="E18" s="346"/>
      <c r="F18" s="346"/>
      <c r="G18" s="346"/>
      <c r="H18" s="347"/>
      <c r="I18" s="24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84" t="s">
        <v>277</v>
      </c>
      <c r="B19" s="23"/>
      <c r="C19" s="212"/>
      <c r="D19" s="65"/>
      <c r="E19" s="65"/>
      <c r="F19" s="65"/>
      <c r="G19" s="65"/>
      <c r="H19" s="21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284" t="s">
        <v>303</v>
      </c>
      <c r="B20" s="23"/>
      <c r="C20" s="212"/>
      <c r="D20" s="65"/>
      <c r="E20" s="65"/>
      <c r="F20" s="65"/>
      <c r="G20" s="65"/>
      <c r="H20" s="21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284" t="s">
        <v>304</v>
      </c>
      <c r="B21" s="23"/>
      <c r="C21" s="212"/>
      <c r="D21" s="65"/>
      <c r="E21" s="65"/>
      <c r="F21" s="65"/>
      <c r="G21" s="65"/>
      <c r="H21" s="213"/>
      <c r="I21" s="24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4.25" customHeight="1">
      <c r="A22" s="284" t="s">
        <v>305</v>
      </c>
      <c r="B22" s="23"/>
      <c r="C22" s="212"/>
      <c r="D22" s="65"/>
      <c r="E22" s="65"/>
      <c r="F22" s="65"/>
      <c r="G22" s="65"/>
      <c r="H22" s="21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284" t="s">
        <v>306</v>
      </c>
      <c r="B23" s="23"/>
      <c r="C23" s="212"/>
      <c r="D23" s="65"/>
      <c r="E23" s="65"/>
      <c r="F23" s="65"/>
      <c r="G23" s="65"/>
      <c r="H23" s="21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84" t="s">
        <v>307</v>
      </c>
      <c r="B24" s="23"/>
      <c r="C24" s="212"/>
      <c r="D24" s="65"/>
      <c r="E24" s="65"/>
      <c r="F24" s="65"/>
      <c r="G24" s="65"/>
      <c r="H24" s="21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64" t="s">
        <v>308</v>
      </c>
      <c r="B25" s="23"/>
      <c r="C25" s="212"/>
      <c r="D25" s="65"/>
      <c r="E25" s="65"/>
      <c r="F25" s="65"/>
      <c r="G25" s="65"/>
      <c r="H25" s="21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4.25" customHeight="1">
      <c r="A26" s="71" t="s">
        <v>309</v>
      </c>
      <c r="B26" s="23"/>
      <c r="C26" s="212"/>
      <c r="D26" s="65"/>
      <c r="E26" s="65"/>
      <c r="F26" s="65"/>
      <c r="G26" s="65"/>
      <c r="H26" s="21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298"/>
      <c r="B27" s="299"/>
      <c r="C27" s="220"/>
      <c r="D27" s="348"/>
      <c r="E27" s="348"/>
      <c r="F27" s="348"/>
      <c r="G27" s="348"/>
      <c r="H27" s="349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6.5" customHeight="1">
      <c r="A28" s="350" t="s">
        <v>310</v>
      </c>
      <c r="B28" s="312"/>
      <c r="C28" s="351"/>
      <c r="D28" s="312"/>
      <c r="E28" s="312"/>
      <c r="F28" s="312"/>
      <c r="G28" s="312"/>
      <c r="H28" s="352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3.5" customHeight="1">
      <c r="A29" s="353" t="s">
        <v>114</v>
      </c>
      <c r="B29" s="23" t="s">
        <v>115</v>
      </c>
      <c r="C29" s="85" t="s">
        <v>137</v>
      </c>
      <c r="D29" s="85"/>
      <c r="E29" s="85"/>
      <c r="F29" s="85"/>
      <c r="G29" s="85"/>
      <c r="H29" s="354"/>
      <c r="I29" s="24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3.5" customHeight="1">
      <c r="A30" s="355" t="s">
        <v>117</v>
      </c>
      <c r="B30" s="85" t="s">
        <v>311</v>
      </c>
      <c r="C30" s="85" t="s">
        <v>225</v>
      </c>
      <c r="D30" s="85"/>
      <c r="E30" s="85"/>
      <c r="F30" s="85"/>
      <c r="G30" s="85"/>
      <c r="H30" s="354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3.5" customHeight="1">
      <c r="A31" s="355" t="s">
        <v>121</v>
      </c>
      <c r="B31" s="85" t="s">
        <v>312</v>
      </c>
      <c r="C31" s="85" t="s">
        <v>227</v>
      </c>
      <c r="D31" s="85"/>
      <c r="E31" s="85"/>
      <c r="F31" s="85"/>
      <c r="G31" s="85"/>
      <c r="H31" s="354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3.5" customHeight="1">
      <c r="A32" s="355" t="s">
        <v>194</v>
      </c>
      <c r="B32" s="85" t="s">
        <v>118</v>
      </c>
      <c r="C32" s="85" t="s">
        <v>227</v>
      </c>
      <c r="D32" s="85"/>
      <c r="E32" s="85"/>
      <c r="F32" s="85"/>
      <c r="G32" s="85"/>
      <c r="H32" s="354"/>
      <c r="I32" s="24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3.5" customHeight="1">
      <c r="A33" s="355" t="s">
        <v>253</v>
      </c>
      <c r="B33" s="85" t="s">
        <v>122</v>
      </c>
      <c r="C33" s="85" t="s">
        <v>119</v>
      </c>
      <c r="D33" s="85"/>
      <c r="E33" s="161"/>
      <c r="F33" s="161"/>
      <c r="G33" s="161"/>
      <c r="H33" s="356"/>
      <c r="I33" s="24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6.5" customHeight="1">
      <c r="A34" s="357" t="s">
        <v>313</v>
      </c>
      <c r="B34" s="358"/>
      <c r="C34" s="358"/>
      <c r="D34" s="359" t="s">
        <v>124</v>
      </c>
      <c r="E34" s="89"/>
      <c r="F34" s="89"/>
      <c r="G34" s="89"/>
      <c r="H34" s="360"/>
      <c r="I34" s="24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28.5" customHeight="1">
      <c r="A35" s="361" t="s">
        <v>125</v>
      </c>
      <c r="B35" s="362" t="s">
        <v>196</v>
      </c>
      <c r="C35" s="239" t="s">
        <v>126</v>
      </c>
      <c r="D35" s="248" t="s">
        <v>128</v>
      </c>
      <c r="E35" s="249"/>
      <c r="F35" s="242"/>
      <c r="G35" s="242"/>
      <c r="H35" s="243"/>
      <c r="I35" s="24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ht="40.5" customHeight="1">
      <c r="A36" s="244" t="s">
        <v>119</v>
      </c>
      <c r="B36" s="246" t="s">
        <v>130</v>
      </c>
      <c r="C36" s="245" t="s">
        <v>129</v>
      </c>
      <c r="D36" s="248" t="s">
        <v>131</v>
      </c>
      <c r="E36" s="249"/>
      <c r="F36" s="250" t="s">
        <v>229</v>
      </c>
      <c r="G36" s="251"/>
      <c r="H36" s="252"/>
      <c r="I36" s="24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ht="28.5" customHeight="1">
      <c r="A37" s="244" t="s">
        <v>133</v>
      </c>
      <c r="B37" s="246" t="s">
        <v>135</v>
      </c>
      <c r="C37" s="245" t="s">
        <v>134</v>
      </c>
      <c r="D37" s="248" t="s">
        <v>136</v>
      </c>
      <c r="E37" s="249"/>
      <c r="H37" s="257"/>
      <c r="I37" s="24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ht="13.5" customHeight="1">
      <c r="A38" s="314" t="s">
        <v>148</v>
      </c>
      <c r="B38" s="315"/>
      <c r="C38" s="316"/>
      <c r="D38" s="351" t="s">
        <v>149</v>
      </c>
      <c r="E38" s="312"/>
      <c r="F38" s="312"/>
      <c r="G38" s="312"/>
      <c r="H38" s="352"/>
      <c r="I38" s="24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ht="13.5" customHeight="1">
      <c r="A39" s="363" t="s">
        <v>314</v>
      </c>
      <c r="B39" s="91"/>
      <c r="C39" s="364"/>
      <c r="D39" s="365">
        <v>1.0</v>
      </c>
      <c r="E39" s="366" t="s">
        <v>151</v>
      </c>
      <c r="F39" s="366"/>
      <c r="G39" s="367"/>
      <c r="H39" s="368"/>
      <c r="I39" s="24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ht="13.5" customHeight="1">
      <c r="A40" s="363" t="s">
        <v>315</v>
      </c>
      <c r="B40" s="91"/>
      <c r="C40" s="364"/>
      <c r="D40" s="365">
        <v>0.5</v>
      </c>
      <c r="E40" s="366" t="s">
        <v>153</v>
      </c>
      <c r="F40" s="366"/>
      <c r="G40" s="367"/>
      <c r="H40" s="368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3.5" customHeight="1">
      <c r="A41" s="369" t="s">
        <v>316</v>
      </c>
      <c r="B41" s="23"/>
      <c r="C41" s="370"/>
      <c r="D41" s="371">
        <v>0.0</v>
      </c>
      <c r="E41" s="372" t="s">
        <v>155</v>
      </c>
      <c r="F41" s="372"/>
      <c r="G41" s="373"/>
      <c r="H41" s="374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3.5" customHeight="1">
      <c r="A42" s="375" t="s">
        <v>317</v>
      </c>
      <c r="B42" s="23"/>
      <c r="C42" s="370"/>
      <c r="D42" s="376"/>
      <c r="E42" s="65"/>
      <c r="F42" s="65"/>
      <c r="G42" s="130"/>
      <c r="H42" s="377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3.5" customHeight="1">
      <c r="A43" s="375" t="s">
        <v>318</v>
      </c>
      <c r="B43" s="23"/>
      <c r="C43" s="370"/>
      <c r="D43" s="23"/>
      <c r="E43" s="23"/>
      <c r="F43" s="23"/>
      <c r="G43" s="23"/>
      <c r="H43" s="370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3.5" customHeight="1">
      <c r="A44" s="375" t="s">
        <v>319</v>
      </c>
      <c r="B44" s="23"/>
      <c r="C44" s="370"/>
      <c r="D44" s="23"/>
      <c r="E44" s="23"/>
      <c r="F44" s="23"/>
      <c r="G44" s="23"/>
      <c r="H44" s="370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3.5" customHeight="1">
      <c r="A45" s="375" t="s">
        <v>320</v>
      </c>
      <c r="B45" s="23"/>
      <c r="C45" s="370"/>
      <c r="D45" s="23"/>
      <c r="E45" s="23"/>
      <c r="F45" s="23"/>
      <c r="G45" s="23"/>
      <c r="H45" s="370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3.5" customHeight="1">
      <c r="A46" s="375" t="s">
        <v>321</v>
      </c>
      <c r="B46" s="23"/>
      <c r="C46" s="370"/>
      <c r="D46" s="23"/>
      <c r="E46" s="23"/>
      <c r="F46" s="23"/>
      <c r="G46" s="23"/>
      <c r="H46" s="370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3.5" customHeight="1">
      <c r="A47" s="378" t="s">
        <v>161</v>
      </c>
      <c r="B47" s="134" t="s">
        <v>163</v>
      </c>
      <c r="C47" s="370"/>
      <c r="D47" s="23"/>
      <c r="E47" s="23"/>
      <c r="F47" s="23"/>
      <c r="G47" s="23"/>
      <c r="H47" s="370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3.5" customHeight="1">
      <c r="A48" s="369" t="s">
        <v>322</v>
      </c>
      <c r="B48" s="23"/>
      <c r="C48" s="370"/>
      <c r="D48" s="23"/>
      <c r="E48" s="23"/>
      <c r="F48" s="23"/>
      <c r="G48" s="23"/>
      <c r="H48" s="370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3.5" customHeight="1">
      <c r="A49" s="353" t="s">
        <v>164</v>
      </c>
      <c r="B49" s="135" t="s">
        <v>165</v>
      </c>
      <c r="C49" s="370"/>
      <c r="D49" s="23"/>
      <c r="E49" s="23"/>
      <c r="F49" s="23"/>
      <c r="G49" s="23"/>
      <c r="H49" s="370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3.5" customHeight="1">
      <c r="A50" s="353" t="s">
        <v>166</v>
      </c>
      <c r="B50" s="135" t="s">
        <v>167</v>
      </c>
      <c r="C50" s="370"/>
      <c r="D50" s="23"/>
      <c r="E50" s="23"/>
      <c r="F50" s="23"/>
      <c r="G50" s="23"/>
      <c r="H50" s="370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3.5" customHeight="1">
      <c r="A51" s="353" t="s">
        <v>168</v>
      </c>
      <c r="B51" s="135" t="s">
        <v>169</v>
      </c>
      <c r="C51" s="370"/>
      <c r="D51" s="23"/>
      <c r="E51" s="23"/>
      <c r="F51" s="23"/>
      <c r="G51" s="23"/>
      <c r="H51" s="370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3.5" customHeight="1">
      <c r="A52" s="353" t="s">
        <v>170</v>
      </c>
      <c r="B52" s="23" t="s">
        <v>171</v>
      </c>
      <c r="C52" s="370"/>
      <c r="D52" s="23"/>
      <c r="E52" s="23"/>
      <c r="F52" s="23"/>
      <c r="G52" s="23"/>
      <c r="H52" s="370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3.5" customHeight="1">
      <c r="A53" s="353" t="s">
        <v>172</v>
      </c>
      <c r="B53" s="23" t="s">
        <v>173</v>
      </c>
      <c r="C53" s="370"/>
      <c r="D53" s="23"/>
      <c r="E53" s="23"/>
      <c r="F53" s="23"/>
      <c r="G53" s="23"/>
      <c r="H53" s="370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3.5" customHeight="1">
      <c r="A54" s="357" t="s">
        <v>174</v>
      </c>
      <c r="B54" s="358"/>
      <c r="C54" s="358"/>
      <c r="D54" s="358"/>
      <c r="E54" s="358"/>
      <c r="F54" s="358"/>
      <c r="G54" s="358"/>
      <c r="H54" s="379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64" t="s">
        <v>175</v>
      </c>
      <c r="B55" s="380"/>
      <c r="C55" s="380"/>
      <c r="D55" s="380"/>
      <c r="E55" s="380"/>
      <c r="F55" s="380"/>
      <c r="G55" s="380"/>
      <c r="H55" s="381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382" t="s">
        <v>176</v>
      </c>
      <c r="B56" s="65"/>
      <c r="C56" s="65"/>
      <c r="D56" s="65"/>
      <c r="E56" s="65"/>
      <c r="F56" s="65"/>
      <c r="G56" s="65"/>
      <c r="H56" s="383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382" t="s">
        <v>177</v>
      </c>
      <c r="B57" s="65"/>
      <c r="C57" s="65"/>
      <c r="D57" s="65"/>
      <c r="E57" s="65"/>
      <c r="F57" s="65"/>
      <c r="G57" s="65"/>
      <c r="H57" s="383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64" t="s">
        <v>323</v>
      </c>
      <c r="B58" s="65"/>
      <c r="C58" s="65"/>
      <c r="D58" s="65"/>
      <c r="E58" s="65"/>
      <c r="F58" s="65"/>
      <c r="G58" s="65"/>
      <c r="H58" s="383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384" t="s">
        <v>179</v>
      </c>
      <c r="H59" s="385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386" t="s">
        <v>180</v>
      </c>
      <c r="H60" s="385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387" t="s">
        <v>181</v>
      </c>
      <c r="B61" s="65"/>
      <c r="C61" s="65"/>
      <c r="D61" s="65"/>
      <c r="E61" s="65"/>
      <c r="F61" s="65"/>
      <c r="G61" s="65"/>
      <c r="H61" s="383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382" t="s">
        <v>182</v>
      </c>
      <c r="B62" s="65"/>
      <c r="C62" s="65"/>
      <c r="D62" s="65"/>
      <c r="E62" s="65"/>
      <c r="F62" s="65"/>
      <c r="G62" s="65"/>
      <c r="H62" s="383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388" t="s">
        <v>324</v>
      </c>
      <c r="B63" s="389"/>
      <c r="C63" s="389"/>
      <c r="D63" s="389"/>
      <c r="E63" s="389"/>
      <c r="F63" s="389"/>
      <c r="G63" s="389"/>
      <c r="H63" s="390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2.75" customHeight="1">
      <c r="A64" s="23"/>
      <c r="B64" s="23"/>
      <c r="C64" s="23"/>
      <c r="D64" s="23"/>
      <c r="E64" s="23"/>
      <c r="F64" s="23"/>
      <c r="G64" s="23"/>
      <c r="H64" s="23"/>
      <c r="I64" s="24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3.5" customHeight="1">
      <c r="A65" s="23"/>
      <c r="B65" s="23"/>
      <c r="C65" s="23"/>
      <c r="D65" s="23"/>
      <c r="E65" s="23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3.5" customHeight="1">
      <c r="A66" s="23"/>
      <c r="B66" s="23"/>
      <c r="C66" s="23"/>
      <c r="D66" s="23"/>
      <c r="E66" s="23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3.5" customHeight="1">
      <c r="A67" s="23"/>
      <c r="B67" s="23"/>
      <c r="C67" s="23"/>
      <c r="D67" s="23"/>
      <c r="E67" s="23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3.5" customHeight="1">
      <c r="A68" s="23"/>
      <c r="B68" s="23"/>
      <c r="C68" s="23"/>
      <c r="D68" s="23"/>
      <c r="E68" s="23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3.5" customHeight="1">
      <c r="A69" s="23"/>
      <c r="B69" s="23"/>
      <c r="C69" s="23"/>
      <c r="D69" s="23"/>
      <c r="E69" s="23"/>
      <c r="F69" s="23"/>
      <c r="G69" s="23"/>
      <c r="H69" s="23"/>
      <c r="I69" s="24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3.5" customHeight="1">
      <c r="A70" s="23"/>
      <c r="B70" s="23"/>
      <c r="C70" s="23"/>
      <c r="D70" s="23"/>
      <c r="E70" s="23"/>
      <c r="F70" s="23"/>
      <c r="G70" s="23"/>
      <c r="H70" s="23"/>
      <c r="I70" s="24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3.5" customHeight="1">
      <c r="A71" s="23"/>
      <c r="B71" s="23"/>
      <c r="C71" s="23"/>
      <c r="D71" s="23"/>
      <c r="E71" s="23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4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4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4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4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E6:F6"/>
    <mergeCell ref="G6:G7"/>
    <mergeCell ref="E7:F7"/>
    <mergeCell ref="C28:H28"/>
    <mergeCell ref="A2:D2"/>
    <mergeCell ref="A3:D3"/>
    <mergeCell ref="A4:A5"/>
    <mergeCell ref="B4:B5"/>
    <mergeCell ref="C4:H4"/>
    <mergeCell ref="C6:D7"/>
    <mergeCell ref="H6:H7"/>
    <mergeCell ref="C9:H9"/>
    <mergeCell ref="A6:B7"/>
    <mergeCell ref="A9:B9"/>
    <mergeCell ref="A10:B10"/>
    <mergeCell ref="A12:B12"/>
    <mergeCell ref="A13:B13"/>
    <mergeCell ref="A14:B14"/>
    <mergeCell ref="A27:B27"/>
    <mergeCell ref="A38:C38"/>
    <mergeCell ref="D38:H38"/>
    <mergeCell ref="A54:H54"/>
    <mergeCell ref="A59:H59"/>
    <mergeCell ref="A60:H60"/>
    <mergeCell ref="A63:H63"/>
    <mergeCell ref="A28:B28"/>
    <mergeCell ref="A34:C34"/>
    <mergeCell ref="D34:H34"/>
    <mergeCell ref="D35:E35"/>
    <mergeCell ref="D36:E36"/>
    <mergeCell ref="F36:H37"/>
    <mergeCell ref="D37:E37"/>
  </mergeCells>
  <printOptions/>
  <pageMargins bottom="0.0" footer="0.0" header="0.0" left="0.11811023622047245" right="0.0" top="0.1968503937007874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5.29"/>
    <col customWidth="1" min="3" max="3" width="11.29"/>
    <col customWidth="1" min="4" max="4" width="10.43"/>
    <col customWidth="1" min="5" max="6" width="12.29"/>
    <col customWidth="1" min="7" max="7" width="7.71"/>
    <col customWidth="1" min="8" max="8" width="10.29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325</v>
      </c>
      <c r="B2" s="26"/>
      <c r="C2" s="26"/>
      <c r="D2" s="26"/>
      <c r="E2" s="391"/>
      <c r="F2" s="23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311" t="s">
        <v>71</v>
      </c>
      <c r="B3" s="312"/>
      <c r="C3" s="312"/>
      <c r="D3" s="312"/>
      <c r="E3" s="29" t="s">
        <v>72</v>
      </c>
      <c r="F3" s="23"/>
      <c r="G3" s="23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392" t="s">
        <v>73</v>
      </c>
      <c r="B4" s="392" t="s">
        <v>74</v>
      </c>
      <c r="C4" s="393" t="s">
        <v>185</v>
      </c>
      <c r="D4" s="5"/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2"/>
      <c r="B5" s="32"/>
      <c r="C5" s="394" t="s">
        <v>76</v>
      </c>
      <c r="D5" s="395" t="s">
        <v>77</v>
      </c>
      <c r="E5" s="395" t="s">
        <v>78</v>
      </c>
      <c r="F5" s="395" t="s">
        <v>79</v>
      </c>
      <c r="G5" s="395" t="s">
        <v>80</v>
      </c>
      <c r="H5" s="395" t="s">
        <v>81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396" t="s">
        <v>326</v>
      </c>
      <c r="B6" s="39"/>
      <c r="C6" s="40" t="s">
        <v>82</v>
      </c>
      <c r="D6" s="39"/>
      <c r="E6" s="41" t="s">
        <v>83</v>
      </c>
      <c r="F6" s="26"/>
      <c r="G6" s="142" t="s">
        <v>186</v>
      </c>
      <c r="H6" s="43" t="s">
        <v>85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4.25" customHeight="1">
      <c r="A7" s="44"/>
      <c r="B7" s="46"/>
      <c r="C7" s="47"/>
      <c r="D7" s="46"/>
      <c r="E7" s="48" t="s">
        <v>86</v>
      </c>
      <c r="F7" s="26"/>
      <c r="G7" s="32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4.75" customHeight="1">
      <c r="A8" s="49" t="s">
        <v>327</v>
      </c>
      <c r="B8" s="51" t="s">
        <v>328</v>
      </c>
      <c r="C8" s="52">
        <v>2700.0</v>
      </c>
      <c r="D8" s="53">
        <v>1950.0</v>
      </c>
      <c r="E8" s="53">
        <v>1570.0</v>
      </c>
      <c r="F8" s="53">
        <v>1380.0</v>
      </c>
      <c r="G8" s="53">
        <v>400.0</v>
      </c>
      <c r="H8" s="53" t="s">
        <v>329</v>
      </c>
      <c r="I8" s="55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393" t="s">
        <v>96</v>
      </c>
      <c r="B9" s="6"/>
      <c r="C9" s="393" t="s">
        <v>97</v>
      </c>
      <c r="D9" s="5"/>
      <c r="E9" s="5"/>
      <c r="F9" s="5"/>
      <c r="G9" s="5"/>
      <c r="H9" s="6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4.25" customHeight="1">
      <c r="A10" s="152" t="s">
        <v>98</v>
      </c>
      <c r="B10" s="39"/>
      <c r="C10" s="153" t="s">
        <v>99</v>
      </c>
      <c r="D10" s="62"/>
      <c r="E10" s="62"/>
      <c r="F10" s="62"/>
      <c r="G10" s="62"/>
      <c r="H10" s="6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64" t="s">
        <v>191</v>
      </c>
      <c r="B11" s="66"/>
      <c r="C11" s="64" t="s">
        <v>101</v>
      </c>
      <c r="D11" s="65"/>
      <c r="E11" s="65"/>
      <c r="F11" s="65"/>
      <c r="G11" s="65"/>
      <c r="H11" s="67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60" t="s">
        <v>330</v>
      </c>
      <c r="B12" s="61"/>
      <c r="C12" s="68" t="s">
        <v>103</v>
      </c>
      <c r="D12" s="65"/>
      <c r="E12" s="65"/>
      <c r="F12" s="65"/>
      <c r="G12" s="65"/>
      <c r="H12" s="67"/>
      <c r="I12" s="24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69" t="s">
        <v>104</v>
      </c>
      <c r="B13" s="61"/>
      <c r="C13" s="68" t="s">
        <v>105</v>
      </c>
      <c r="D13" s="65"/>
      <c r="E13" s="65"/>
      <c r="F13" s="65"/>
      <c r="G13" s="65"/>
      <c r="H13" s="67"/>
      <c r="I13" s="24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69" t="s">
        <v>106</v>
      </c>
      <c r="B14" s="61"/>
      <c r="C14" s="68" t="s">
        <v>107</v>
      </c>
      <c r="D14" s="65"/>
      <c r="E14" s="65"/>
      <c r="F14" s="65"/>
      <c r="G14" s="65"/>
      <c r="H14" s="67"/>
      <c r="I14" s="24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71" t="s">
        <v>331</v>
      </c>
      <c r="B15" s="72"/>
      <c r="C15" s="73" t="s">
        <v>109</v>
      </c>
      <c r="D15" s="74"/>
      <c r="E15" s="74"/>
      <c r="F15" s="74"/>
      <c r="G15" s="74"/>
      <c r="H15" s="75"/>
      <c r="I15" s="24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71" t="s">
        <v>332</v>
      </c>
      <c r="B16" s="72"/>
      <c r="C16" s="68"/>
      <c r="D16" s="65"/>
      <c r="E16" s="65"/>
      <c r="F16" s="65"/>
      <c r="G16" s="65"/>
      <c r="H16" s="67"/>
      <c r="I16" s="24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397" t="s">
        <v>333</v>
      </c>
      <c r="B17" s="72"/>
      <c r="C17" s="65"/>
      <c r="D17" s="65"/>
      <c r="E17" s="65"/>
      <c r="F17" s="65"/>
      <c r="G17" s="65"/>
      <c r="H17" s="67"/>
      <c r="I17" s="24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71" t="s">
        <v>216</v>
      </c>
      <c r="B18" s="72"/>
      <c r="C18" s="64"/>
      <c r="D18" s="65"/>
      <c r="E18" s="65"/>
      <c r="F18" s="65"/>
      <c r="G18" s="65"/>
      <c r="H18" s="67"/>
      <c r="I18" s="24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71" t="s">
        <v>334</v>
      </c>
      <c r="B19" s="72"/>
      <c r="C19" s="64"/>
      <c r="D19" s="65"/>
      <c r="E19" s="65"/>
      <c r="F19" s="65"/>
      <c r="G19" s="65"/>
      <c r="H19" s="67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215" t="s">
        <v>335</v>
      </c>
      <c r="B20" s="72"/>
      <c r="C20" s="64"/>
      <c r="D20" s="65"/>
      <c r="E20" s="65"/>
      <c r="F20" s="65"/>
      <c r="G20" s="65"/>
      <c r="H20" s="67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71" t="s">
        <v>336</v>
      </c>
      <c r="B21" s="72"/>
      <c r="C21" s="64"/>
      <c r="D21" s="65"/>
      <c r="E21" s="65"/>
      <c r="F21" s="65"/>
      <c r="G21" s="65"/>
      <c r="H21" s="67"/>
      <c r="I21" s="24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4.25" customHeight="1">
      <c r="A22" s="71" t="s">
        <v>220</v>
      </c>
      <c r="B22" s="72"/>
      <c r="C22" s="64"/>
      <c r="D22" s="65"/>
      <c r="E22" s="65"/>
      <c r="F22" s="65"/>
      <c r="G22" s="65"/>
      <c r="H22" s="67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64" t="s">
        <v>221</v>
      </c>
      <c r="B23" s="72"/>
      <c r="C23" s="64"/>
      <c r="D23" s="65"/>
      <c r="E23" s="65"/>
      <c r="F23" s="65"/>
      <c r="G23" s="65"/>
      <c r="H23" s="67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71" t="s">
        <v>222</v>
      </c>
      <c r="B24" s="72"/>
      <c r="C24" s="64"/>
      <c r="D24" s="65"/>
      <c r="E24" s="65"/>
      <c r="F24" s="65"/>
      <c r="G24" s="65"/>
      <c r="H24" s="67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155"/>
      <c r="B25" s="136"/>
      <c r="C25" s="78"/>
      <c r="D25" s="101"/>
      <c r="E25" s="101"/>
      <c r="F25" s="101"/>
      <c r="G25" s="101"/>
      <c r="H25" s="157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6.5" customHeight="1">
      <c r="A26" s="398" t="s">
        <v>337</v>
      </c>
      <c r="B26" s="5"/>
      <c r="C26" s="399"/>
      <c r="D26" s="5"/>
      <c r="E26" s="5"/>
      <c r="F26" s="5"/>
      <c r="G26" s="5"/>
      <c r="H26" s="6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3.5" customHeight="1">
      <c r="A27" s="81" t="s">
        <v>114</v>
      </c>
      <c r="B27" s="82" t="s">
        <v>115</v>
      </c>
      <c r="C27" s="83" t="s">
        <v>137</v>
      </c>
      <c r="D27" s="83"/>
      <c r="E27" s="83"/>
      <c r="F27" s="83"/>
      <c r="G27" s="83"/>
      <c r="H27" s="84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3.5" customHeight="1">
      <c r="A28" s="69" t="s">
        <v>117</v>
      </c>
      <c r="B28" s="85" t="s">
        <v>338</v>
      </c>
      <c r="C28" s="85" t="s">
        <v>225</v>
      </c>
      <c r="D28" s="85"/>
      <c r="E28" s="85"/>
      <c r="F28" s="85"/>
      <c r="G28" s="85"/>
      <c r="H28" s="66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3.5" customHeight="1">
      <c r="A29" s="69" t="s">
        <v>121</v>
      </c>
      <c r="B29" s="85" t="s">
        <v>226</v>
      </c>
      <c r="C29" s="85" t="s">
        <v>227</v>
      </c>
      <c r="D29" s="85"/>
      <c r="E29" s="85"/>
      <c r="F29" s="85"/>
      <c r="G29" s="85"/>
      <c r="H29" s="66"/>
      <c r="I29" s="24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3.5" customHeight="1">
      <c r="A30" s="160" t="s">
        <v>194</v>
      </c>
      <c r="B30" s="161" t="s">
        <v>122</v>
      </c>
      <c r="C30" s="161" t="s">
        <v>119</v>
      </c>
      <c r="D30" s="161"/>
      <c r="E30" s="161"/>
      <c r="F30" s="161"/>
      <c r="G30" s="161"/>
      <c r="H30" s="162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6.5" customHeight="1">
      <c r="A31" s="393" t="s">
        <v>339</v>
      </c>
      <c r="B31" s="5"/>
      <c r="C31" s="5"/>
      <c r="D31" s="400" t="s">
        <v>124</v>
      </c>
      <c r="E31" s="5"/>
      <c r="F31" s="5"/>
      <c r="G31" s="5"/>
      <c r="H31" s="6"/>
      <c r="I31" s="24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ht="27.0" customHeight="1">
      <c r="A32" s="92" t="s">
        <v>125</v>
      </c>
      <c r="B32" s="94" t="s">
        <v>196</v>
      </c>
      <c r="C32" s="93" t="s">
        <v>126</v>
      </c>
      <c r="D32" s="96" t="s">
        <v>128</v>
      </c>
      <c r="E32" s="5"/>
      <c r="F32" s="97"/>
      <c r="G32" s="97"/>
      <c r="H32" s="151"/>
      <c r="I32" s="24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ht="40.5" customHeight="1">
      <c r="A33" s="99" t="s">
        <v>119</v>
      </c>
      <c r="B33" s="101" t="s">
        <v>130</v>
      </c>
      <c r="C33" s="100" t="s">
        <v>129</v>
      </c>
      <c r="D33" s="96" t="s">
        <v>131</v>
      </c>
      <c r="E33" s="6"/>
      <c r="F33" s="104" t="s">
        <v>229</v>
      </c>
      <c r="G33" s="38"/>
      <c r="H33" s="39"/>
      <c r="I33" s="24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ht="28.5" customHeight="1">
      <c r="A34" s="92" t="s">
        <v>133</v>
      </c>
      <c r="B34" s="106" t="s">
        <v>135</v>
      </c>
      <c r="C34" s="100" t="s">
        <v>134</v>
      </c>
      <c r="D34" s="96" t="s">
        <v>136</v>
      </c>
      <c r="E34" s="6"/>
      <c r="F34" s="108"/>
      <c r="H34" s="61"/>
      <c r="I34" s="24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24.75" customHeight="1">
      <c r="A35" s="92" t="s">
        <v>137</v>
      </c>
      <c r="B35" s="94" t="s">
        <v>146</v>
      </c>
      <c r="C35" s="95"/>
      <c r="D35" s="112" t="s">
        <v>147</v>
      </c>
      <c r="E35" s="95"/>
      <c r="F35" s="94"/>
      <c r="G35" s="94"/>
      <c r="H35" s="164"/>
      <c r="I35" s="24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ht="13.5" customHeight="1">
      <c r="A36" s="393" t="s">
        <v>148</v>
      </c>
      <c r="B36" s="5"/>
      <c r="C36" s="6"/>
      <c r="D36" s="401" t="s">
        <v>149</v>
      </c>
      <c r="E36" s="89"/>
      <c r="F36" s="89"/>
      <c r="G36" s="89"/>
      <c r="H36" s="90"/>
      <c r="I36" s="24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ht="13.5" customHeight="1">
      <c r="A37" s="116" t="s">
        <v>340</v>
      </c>
      <c r="B37" s="91"/>
      <c r="C37" s="165"/>
      <c r="D37" s="118">
        <v>1.0</v>
      </c>
      <c r="E37" s="62" t="s">
        <v>151</v>
      </c>
      <c r="F37" s="62"/>
      <c r="G37" s="119"/>
      <c r="H37" s="120"/>
      <c r="I37" s="24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ht="13.5" customHeight="1">
      <c r="A38" s="116" t="s">
        <v>341</v>
      </c>
      <c r="B38" s="91"/>
      <c r="C38" s="165"/>
      <c r="D38" s="121">
        <v>0.5</v>
      </c>
      <c r="E38" s="122" t="s">
        <v>153</v>
      </c>
      <c r="F38" s="122"/>
      <c r="G38" s="123"/>
      <c r="H38" s="124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3.5" customHeight="1">
      <c r="A39" s="125" t="s">
        <v>342</v>
      </c>
      <c r="B39" s="23"/>
      <c r="C39" s="72"/>
      <c r="D39" s="121">
        <v>0.0</v>
      </c>
      <c r="E39" s="122" t="s">
        <v>155</v>
      </c>
      <c r="F39" s="122"/>
      <c r="G39" s="123"/>
      <c r="H39" s="124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3.5" customHeight="1">
      <c r="A40" s="127" t="s">
        <v>343</v>
      </c>
      <c r="B40" s="23"/>
      <c r="C40" s="72"/>
      <c r="D40" s="129"/>
      <c r="E40" s="65"/>
      <c r="F40" s="65"/>
      <c r="G40" s="130"/>
      <c r="H40" s="131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3.5" customHeight="1">
      <c r="A41" s="127" t="s">
        <v>344</v>
      </c>
      <c r="B41" s="23"/>
      <c r="C41" s="72"/>
      <c r="D41" s="71"/>
      <c r="E41" s="23"/>
      <c r="F41" s="23"/>
      <c r="G41" s="23"/>
      <c r="H41" s="72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3.5" customHeight="1">
      <c r="A42" s="127" t="s">
        <v>345</v>
      </c>
      <c r="B42" s="23"/>
      <c r="C42" s="72"/>
      <c r="D42" s="71"/>
      <c r="E42" s="23"/>
      <c r="F42" s="23"/>
      <c r="G42" s="23"/>
      <c r="H42" s="72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3.5" customHeight="1">
      <c r="A43" s="127" t="s">
        <v>346</v>
      </c>
      <c r="B43" s="23"/>
      <c r="C43" s="72"/>
      <c r="D43" s="71"/>
      <c r="E43" s="23"/>
      <c r="F43" s="23"/>
      <c r="G43" s="23"/>
      <c r="H43" s="72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3.5" customHeight="1">
      <c r="A44" s="127" t="s">
        <v>347</v>
      </c>
      <c r="B44" s="23"/>
      <c r="C44" s="72"/>
      <c r="D44" s="71"/>
      <c r="E44" s="23"/>
      <c r="F44" s="23"/>
      <c r="G44" s="23"/>
      <c r="H44" s="72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3.5" customHeight="1">
      <c r="A45" s="132" t="s">
        <v>161</v>
      </c>
      <c r="B45" s="134" t="s">
        <v>163</v>
      </c>
      <c r="C45" s="72"/>
      <c r="D45" s="71"/>
      <c r="E45" s="23"/>
      <c r="F45" s="23"/>
      <c r="G45" s="23"/>
      <c r="H45" s="72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3.5" customHeight="1">
      <c r="A46" s="125" t="s">
        <v>348</v>
      </c>
      <c r="B46" s="23"/>
      <c r="C46" s="72"/>
      <c r="D46" s="71"/>
      <c r="E46" s="23"/>
      <c r="F46" s="23"/>
      <c r="G46" s="23"/>
      <c r="H46" s="72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3.5" customHeight="1">
      <c r="A47" s="71" t="s">
        <v>164</v>
      </c>
      <c r="B47" s="135" t="s">
        <v>165</v>
      </c>
      <c r="C47" s="72"/>
      <c r="D47" s="71"/>
      <c r="E47" s="23"/>
      <c r="F47" s="23"/>
      <c r="G47" s="23"/>
      <c r="H47" s="72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3.5" customHeight="1">
      <c r="A48" s="71" t="s">
        <v>166</v>
      </c>
      <c r="B48" s="135" t="s">
        <v>167</v>
      </c>
      <c r="C48" s="72"/>
      <c r="D48" s="71"/>
      <c r="E48" s="23"/>
      <c r="F48" s="23"/>
      <c r="G48" s="23"/>
      <c r="H48" s="72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3.5" customHeight="1">
      <c r="A49" s="71" t="s">
        <v>168</v>
      </c>
      <c r="B49" s="135" t="s">
        <v>169</v>
      </c>
      <c r="C49" s="72"/>
      <c r="D49" s="71"/>
      <c r="E49" s="23"/>
      <c r="F49" s="23"/>
      <c r="G49" s="23"/>
      <c r="H49" s="72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3.5" customHeight="1">
      <c r="A50" s="71" t="s">
        <v>170</v>
      </c>
      <c r="B50" s="23" t="s">
        <v>171</v>
      </c>
      <c r="C50" s="72"/>
      <c r="D50" s="71"/>
      <c r="E50" s="23"/>
      <c r="F50" s="23"/>
      <c r="G50" s="23"/>
      <c r="H50" s="72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3.5" customHeight="1">
      <c r="A51" s="86" t="s">
        <v>172</v>
      </c>
      <c r="B51" s="87" t="s">
        <v>173</v>
      </c>
      <c r="C51" s="136"/>
      <c r="D51" s="86"/>
      <c r="E51" s="87"/>
      <c r="F51" s="87"/>
      <c r="G51" s="87"/>
      <c r="H51" s="136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3.5" customHeight="1">
      <c r="A52" s="393" t="s">
        <v>174</v>
      </c>
      <c r="B52" s="5"/>
      <c r="C52" s="5"/>
      <c r="D52" s="5"/>
      <c r="E52" s="5"/>
      <c r="F52" s="5"/>
      <c r="G52" s="5"/>
      <c r="H52" s="6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64" t="s">
        <v>175</v>
      </c>
      <c r="B53" s="65"/>
      <c r="C53" s="65"/>
      <c r="D53" s="65"/>
      <c r="E53" s="65"/>
      <c r="F53" s="65"/>
      <c r="G53" s="65"/>
      <c r="H53" s="67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64" t="s">
        <v>176</v>
      </c>
      <c r="B54" s="65"/>
      <c r="C54" s="65"/>
      <c r="D54" s="65"/>
      <c r="E54" s="65"/>
      <c r="F54" s="65"/>
      <c r="G54" s="65"/>
      <c r="H54" s="67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64" t="s">
        <v>177</v>
      </c>
      <c r="B55" s="65"/>
      <c r="C55" s="65"/>
      <c r="D55" s="65"/>
      <c r="E55" s="65"/>
      <c r="F55" s="65"/>
      <c r="G55" s="65"/>
      <c r="H55" s="67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64" t="s">
        <v>349</v>
      </c>
      <c r="B56" s="65"/>
      <c r="C56" s="65"/>
      <c r="D56" s="65"/>
      <c r="E56" s="65"/>
      <c r="F56" s="65"/>
      <c r="G56" s="65"/>
      <c r="H56" s="67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60" t="s">
        <v>179</v>
      </c>
      <c r="H57" s="61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137" t="s">
        <v>180</v>
      </c>
      <c r="H58" s="61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138" t="s">
        <v>181</v>
      </c>
      <c r="B59" s="65"/>
      <c r="C59" s="65"/>
      <c r="D59" s="65"/>
      <c r="E59" s="65"/>
      <c r="F59" s="65"/>
      <c r="G59" s="65"/>
      <c r="H59" s="67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64" t="s">
        <v>182</v>
      </c>
      <c r="B60" s="65"/>
      <c r="C60" s="65"/>
      <c r="D60" s="65"/>
      <c r="E60" s="65"/>
      <c r="F60" s="65"/>
      <c r="G60" s="65"/>
      <c r="H60" s="67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78" t="s">
        <v>350</v>
      </c>
      <c r="B61" s="45"/>
      <c r="C61" s="45"/>
      <c r="D61" s="45"/>
      <c r="E61" s="45"/>
      <c r="F61" s="45"/>
      <c r="G61" s="45"/>
      <c r="H61" s="46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3"/>
      <c r="B62" s="23"/>
      <c r="C62" s="23"/>
      <c r="D62" s="23"/>
      <c r="E62" s="23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23"/>
      <c r="B63" s="23"/>
      <c r="C63" s="23"/>
      <c r="D63" s="23"/>
      <c r="E63" s="23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23"/>
      <c r="B64" s="23"/>
      <c r="C64" s="23"/>
      <c r="D64" s="23"/>
      <c r="E64" s="23"/>
      <c r="F64" s="23"/>
      <c r="G64" s="23"/>
      <c r="H64" s="23"/>
      <c r="I64" s="24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>
      <c r="A65" s="23"/>
      <c r="B65" s="23"/>
      <c r="C65" s="23"/>
      <c r="D65" s="23"/>
      <c r="E65" s="23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3.5" customHeight="1">
      <c r="A66" s="23"/>
      <c r="B66" s="23"/>
      <c r="C66" s="23"/>
      <c r="D66" s="23"/>
      <c r="E66" s="23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3.5" customHeight="1">
      <c r="A67" s="23"/>
      <c r="B67" s="23"/>
      <c r="C67" s="23"/>
      <c r="D67" s="23"/>
      <c r="E67" s="23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3.5" customHeight="1">
      <c r="A68" s="23"/>
      <c r="B68" s="23"/>
      <c r="C68" s="23"/>
      <c r="D68" s="23"/>
      <c r="E68" s="23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3.5" customHeight="1">
      <c r="A69" s="23"/>
      <c r="B69" s="23"/>
      <c r="C69" s="23"/>
      <c r="D69" s="23"/>
      <c r="E69" s="23"/>
      <c r="F69" s="23"/>
      <c r="G69" s="23"/>
      <c r="H69" s="23"/>
      <c r="I69" s="24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3.5" customHeight="1">
      <c r="A70" s="23"/>
      <c r="B70" s="23"/>
      <c r="C70" s="23"/>
      <c r="D70" s="23"/>
      <c r="E70" s="23"/>
      <c r="F70" s="23"/>
      <c r="G70" s="23"/>
      <c r="H70" s="23"/>
      <c r="I70" s="24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3.5" customHeight="1">
      <c r="A71" s="23"/>
      <c r="B71" s="23"/>
      <c r="C71" s="23"/>
      <c r="D71" s="23"/>
      <c r="E71" s="23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4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4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4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4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2:D2"/>
    <mergeCell ref="A3:D3"/>
    <mergeCell ref="A4:A5"/>
    <mergeCell ref="B4:B5"/>
    <mergeCell ref="C4:H4"/>
    <mergeCell ref="C6:D7"/>
    <mergeCell ref="H6:H7"/>
    <mergeCell ref="C9:H9"/>
    <mergeCell ref="D33:E33"/>
    <mergeCell ref="D34:E34"/>
    <mergeCell ref="A52:H52"/>
    <mergeCell ref="A57:H57"/>
    <mergeCell ref="A58:H58"/>
    <mergeCell ref="A61:H61"/>
    <mergeCell ref="E6:F6"/>
    <mergeCell ref="G6:G7"/>
    <mergeCell ref="E7:F7"/>
    <mergeCell ref="C26:H26"/>
    <mergeCell ref="D31:H31"/>
    <mergeCell ref="D32:E32"/>
    <mergeCell ref="F33:H34"/>
    <mergeCell ref="D36:H36"/>
    <mergeCell ref="A31:C31"/>
    <mergeCell ref="A36:C36"/>
    <mergeCell ref="A6:B7"/>
    <mergeCell ref="A9:B9"/>
    <mergeCell ref="A10:B10"/>
    <mergeCell ref="A12:B12"/>
    <mergeCell ref="A13:B13"/>
    <mergeCell ref="A14:B14"/>
    <mergeCell ref="A26:B26"/>
  </mergeCells>
  <printOptions/>
  <pageMargins bottom="0.0" footer="0.0" header="0.0" left="0.11811023622047245" right="0.0" top="0.1968503937007874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9.14"/>
    <col customWidth="1" min="3" max="3" width="29.71"/>
    <col customWidth="1" min="4" max="4" width="9.71"/>
    <col customWidth="1" min="5" max="5" width="8.71"/>
    <col customWidth="1" min="6" max="6" width="10.14"/>
    <col customWidth="1" min="7" max="7" width="9.86"/>
    <col customWidth="1" min="8" max="8" width="15.86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351</v>
      </c>
      <c r="B2" s="26"/>
      <c r="C2" s="26"/>
      <c r="D2" s="402"/>
      <c r="E2" s="402"/>
      <c r="F2" s="391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352</v>
      </c>
      <c r="B3" s="28"/>
      <c r="C3" s="28"/>
      <c r="D3" s="29" t="s">
        <v>72</v>
      </c>
      <c r="E3" s="23"/>
      <c r="F3" s="23"/>
      <c r="G3" s="23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7.75" customHeight="1">
      <c r="A5" s="32"/>
      <c r="B5" s="32"/>
      <c r="C5" s="32"/>
      <c r="D5" s="405" t="s">
        <v>76</v>
      </c>
      <c r="E5" s="405" t="s">
        <v>77</v>
      </c>
      <c r="F5" s="405" t="s">
        <v>78</v>
      </c>
      <c r="G5" s="405" t="s">
        <v>79</v>
      </c>
      <c r="H5" s="405" t="s">
        <v>80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140"/>
      <c r="B6" s="406"/>
      <c r="C6" s="141"/>
      <c r="D6" s="40" t="s">
        <v>82</v>
      </c>
      <c r="E6" s="39"/>
      <c r="F6" s="41" t="s">
        <v>83</v>
      </c>
      <c r="G6" s="26"/>
      <c r="H6" s="142" t="s">
        <v>84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2.75" customHeight="1">
      <c r="A7" s="108"/>
      <c r="C7" s="46"/>
      <c r="D7" s="47"/>
      <c r="E7" s="46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8.0" customHeight="1">
      <c r="A8" s="407" t="s">
        <v>354</v>
      </c>
      <c r="B8" s="408"/>
      <c r="C8" s="124"/>
      <c r="D8" s="52"/>
      <c r="E8" s="53"/>
      <c r="F8" s="53"/>
      <c r="G8" s="53"/>
      <c r="H8" s="53"/>
      <c r="I8" s="409"/>
      <c r="J8" s="410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8.0" customHeight="1">
      <c r="A9" s="411" t="s">
        <v>355</v>
      </c>
      <c r="B9" s="412" t="s">
        <v>356</v>
      </c>
      <c r="C9" s="413" t="s">
        <v>357</v>
      </c>
      <c r="D9" s="52">
        <v>3080.0</v>
      </c>
      <c r="E9" s="53">
        <f t="shared" ref="E9:E14" si="1">SUM(D9)</f>
        <v>3080</v>
      </c>
      <c r="F9" s="53">
        <f t="shared" ref="F9:F14" si="2">D9-(D9*0.2)</f>
        <v>2464</v>
      </c>
      <c r="G9" s="53">
        <f t="shared" ref="G9:G14" si="3">E9-(E9*0.3)</f>
        <v>2156</v>
      </c>
      <c r="H9" s="53">
        <v>500.0</v>
      </c>
      <c r="I9" s="5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8.0" customHeight="1">
      <c r="A10" s="414" t="s">
        <v>358</v>
      </c>
      <c r="B10" s="412" t="s">
        <v>359</v>
      </c>
      <c r="C10" s="413" t="s">
        <v>360</v>
      </c>
      <c r="D10" s="52">
        <v>2880.0</v>
      </c>
      <c r="E10" s="53">
        <f t="shared" si="1"/>
        <v>2880</v>
      </c>
      <c r="F10" s="53">
        <f t="shared" si="2"/>
        <v>2304</v>
      </c>
      <c r="G10" s="53">
        <f t="shared" si="3"/>
        <v>2016</v>
      </c>
      <c r="H10" s="53">
        <v>500.0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8.0" customHeight="1">
      <c r="A11" s="415"/>
      <c r="B11" s="412"/>
      <c r="C11" s="413" t="s">
        <v>361</v>
      </c>
      <c r="D11" s="52">
        <v>3200.0</v>
      </c>
      <c r="E11" s="53">
        <f t="shared" si="1"/>
        <v>3200</v>
      </c>
      <c r="F11" s="53">
        <f t="shared" si="2"/>
        <v>2560</v>
      </c>
      <c r="G11" s="53">
        <f t="shared" si="3"/>
        <v>2240</v>
      </c>
      <c r="H11" s="53">
        <v>500.0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8.0" customHeight="1">
      <c r="A12" s="415"/>
      <c r="B12" s="412"/>
      <c r="C12" s="413" t="s">
        <v>362</v>
      </c>
      <c r="D12" s="52">
        <v>2880.0</v>
      </c>
      <c r="E12" s="53">
        <f t="shared" si="1"/>
        <v>2880</v>
      </c>
      <c r="F12" s="53">
        <f t="shared" si="2"/>
        <v>2304</v>
      </c>
      <c r="G12" s="53">
        <f t="shared" si="3"/>
        <v>2016</v>
      </c>
      <c r="H12" s="53">
        <v>500.0</v>
      </c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8.0" customHeight="1">
      <c r="A13" s="415"/>
      <c r="B13" s="412"/>
      <c r="C13" s="131" t="s">
        <v>363</v>
      </c>
      <c r="D13" s="52">
        <v>3200.0</v>
      </c>
      <c r="E13" s="53">
        <f t="shared" si="1"/>
        <v>3200</v>
      </c>
      <c r="F13" s="53">
        <f t="shared" si="2"/>
        <v>2560</v>
      </c>
      <c r="G13" s="53">
        <f t="shared" si="3"/>
        <v>2240</v>
      </c>
      <c r="H13" s="53">
        <v>500.0</v>
      </c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8.0" customHeight="1">
      <c r="A14" s="416"/>
      <c r="B14" s="417"/>
      <c r="C14" s="418" t="s">
        <v>364</v>
      </c>
      <c r="D14" s="58">
        <v>3880.0</v>
      </c>
      <c r="E14" s="53">
        <f t="shared" si="1"/>
        <v>3880</v>
      </c>
      <c r="F14" s="53">
        <f t="shared" si="2"/>
        <v>3104</v>
      </c>
      <c r="G14" s="53">
        <f t="shared" si="3"/>
        <v>2716</v>
      </c>
      <c r="H14" s="53">
        <v>500.0</v>
      </c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4.5" customHeight="1">
      <c r="A15" s="419"/>
      <c r="B15" s="420"/>
      <c r="C15" s="420"/>
      <c r="D15" s="420"/>
      <c r="E15" s="420"/>
      <c r="F15" s="420"/>
      <c r="G15" s="420"/>
      <c r="H15" s="421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8.0" customHeight="1">
      <c r="A16" s="407" t="s">
        <v>365</v>
      </c>
      <c r="B16" s="408"/>
      <c r="C16" s="422" t="s">
        <v>366</v>
      </c>
      <c r="D16" s="38"/>
      <c r="E16" s="38"/>
      <c r="F16" s="38"/>
      <c r="G16" s="38"/>
      <c r="H16" s="39"/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8.0" customHeight="1">
      <c r="A17" s="423" t="s">
        <v>355</v>
      </c>
      <c r="B17" s="412" t="s">
        <v>356</v>
      </c>
      <c r="C17" s="108"/>
      <c r="H17" s="61"/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8.0" customHeight="1">
      <c r="A18" s="424" t="s">
        <v>367</v>
      </c>
      <c r="B18" s="412" t="s">
        <v>359</v>
      </c>
      <c r="C18" s="44"/>
      <c r="D18" s="45"/>
      <c r="E18" s="45"/>
      <c r="F18" s="45"/>
      <c r="G18" s="45"/>
      <c r="H18" s="46"/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0.5" customHeight="1">
      <c r="A19" s="425"/>
      <c r="B19" s="426"/>
      <c r="C19" s="426"/>
      <c r="D19" s="426"/>
      <c r="E19" s="426"/>
      <c r="F19" s="426"/>
      <c r="G19" s="426"/>
      <c r="H19" s="427"/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8.0" customHeight="1">
      <c r="A20" s="407" t="s">
        <v>368</v>
      </c>
      <c r="B20" s="408"/>
      <c r="C20" s="124"/>
      <c r="D20" s="52"/>
      <c r="E20" s="53"/>
      <c r="F20" s="53"/>
      <c r="G20" s="53"/>
      <c r="H20" s="53"/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8.0" customHeight="1">
      <c r="A21" s="411" t="s">
        <v>355</v>
      </c>
      <c r="B21" s="412" t="s">
        <v>369</v>
      </c>
      <c r="C21" s="413" t="s">
        <v>357</v>
      </c>
      <c r="D21" s="52">
        <v>3780.0</v>
      </c>
      <c r="E21" s="53">
        <f t="shared" ref="E21:E26" si="4">SUM(D21)</f>
        <v>3780</v>
      </c>
      <c r="F21" s="53">
        <f t="shared" ref="F21:F26" si="5">D21-(D21*0.2)</f>
        <v>3024</v>
      </c>
      <c r="G21" s="53">
        <f t="shared" ref="G21:G26" si="6">E21-(E21*0.3)</f>
        <v>2646</v>
      </c>
      <c r="H21" s="53">
        <v>500.0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8.0" customHeight="1">
      <c r="A22" s="414" t="s">
        <v>358</v>
      </c>
      <c r="B22" s="412" t="s">
        <v>370</v>
      </c>
      <c r="C22" s="413" t="s">
        <v>360</v>
      </c>
      <c r="D22" s="52">
        <v>3450.0</v>
      </c>
      <c r="E22" s="53">
        <f t="shared" si="4"/>
        <v>3450</v>
      </c>
      <c r="F22" s="53">
        <f t="shared" si="5"/>
        <v>2760</v>
      </c>
      <c r="G22" s="53">
        <f t="shared" si="6"/>
        <v>2415</v>
      </c>
      <c r="H22" s="53">
        <v>500.0</v>
      </c>
      <c r="I22" s="5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8.0" customHeight="1">
      <c r="A23" s="415"/>
      <c r="B23" s="412"/>
      <c r="C23" s="413" t="s">
        <v>361</v>
      </c>
      <c r="D23" s="52">
        <v>3680.0</v>
      </c>
      <c r="E23" s="53">
        <f t="shared" si="4"/>
        <v>3680</v>
      </c>
      <c r="F23" s="53">
        <f t="shared" si="5"/>
        <v>2944</v>
      </c>
      <c r="G23" s="53">
        <f t="shared" si="6"/>
        <v>2576</v>
      </c>
      <c r="H23" s="53">
        <v>500.0</v>
      </c>
      <c r="I23" s="5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8.0" customHeight="1">
      <c r="A24" s="415"/>
      <c r="B24" s="412"/>
      <c r="C24" s="413" t="s">
        <v>362</v>
      </c>
      <c r="D24" s="52">
        <v>3450.0</v>
      </c>
      <c r="E24" s="53">
        <f t="shared" si="4"/>
        <v>3450</v>
      </c>
      <c r="F24" s="53">
        <f t="shared" si="5"/>
        <v>2760</v>
      </c>
      <c r="G24" s="53">
        <f t="shared" si="6"/>
        <v>2415</v>
      </c>
      <c r="H24" s="53">
        <v>500.0</v>
      </c>
      <c r="I24" s="5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8.0" customHeight="1">
      <c r="A25" s="415"/>
      <c r="B25" s="412"/>
      <c r="C25" s="413" t="s">
        <v>363</v>
      </c>
      <c r="D25" s="52">
        <v>3680.0</v>
      </c>
      <c r="E25" s="53">
        <f t="shared" si="4"/>
        <v>3680</v>
      </c>
      <c r="F25" s="53">
        <f t="shared" si="5"/>
        <v>2944</v>
      </c>
      <c r="G25" s="53">
        <f t="shared" si="6"/>
        <v>2576</v>
      </c>
      <c r="H25" s="53">
        <v>500.0</v>
      </c>
      <c r="I25" s="5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0" customHeight="1">
      <c r="A26" s="416"/>
      <c r="B26" s="417"/>
      <c r="C26" s="418" t="s">
        <v>364</v>
      </c>
      <c r="D26" s="52">
        <v>4380.0</v>
      </c>
      <c r="E26" s="53">
        <f t="shared" si="4"/>
        <v>4380</v>
      </c>
      <c r="F26" s="53">
        <f t="shared" si="5"/>
        <v>3504</v>
      </c>
      <c r="G26" s="53">
        <f t="shared" si="6"/>
        <v>3066</v>
      </c>
      <c r="H26" s="53">
        <v>500.0</v>
      </c>
      <c r="I26" s="55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4.5" customHeight="1">
      <c r="A27" s="419"/>
      <c r="B27" s="420"/>
      <c r="C27" s="420"/>
      <c r="D27" s="420"/>
      <c r="E27" s="420"/>
      <c r="F27" s="420"/>
      <c r="G27" s="420"/>
      <c r="H27" s="421"/>
      <c r="I27" s="55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0" customHeight="1">
      <c r="A28" s="407" t="s">
        <v>371</v>
      </c>
      <c r="B28" s="408"/>
      <c r="C28" s="422" t="s">
        <v>366</v>
      </c>
      <c r="D28" s="38"/>
      <c r="E28" s="38"/>
      <c r="F28" s="38"/>
      <c r="G28" s="38"/>
      <c r="H28" s="39"/>
      <c r="I28" s="55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8.0" customHeight="1">
      <c r="A29" s="423" t="s">
        <v>355</v>
      </c>
      <c r="B29" s="412" t="s">
        <v>369</v>
      </c>
      <c r="C29" s="108"/>
      <c r="H29" s="61"/>
      <c r="I29" s="55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8.0" customHeight="1">
      <c r="A30" s="428" t="s">
        <v>367</v>
      </c>
      <c r="B30" s="412" t="s">
        <v>372</v>
      </c>
      <c r="C30" s="429"/>
      <c r="D30" s="430"/>
      <c r="E30" s="430"/>
      <c r="F30" s="430"/>
      <c r="G30" s="430"/>
      <c r="H30" s="431"/>
      <c r="I30" s="55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4.0" customHeight="1">
      <c r="A31" s="432" t="s">
        <v>373</v>
      </c>
      <c r="B31" s="433"/>
      <c r="C31" s="433"/>
      <c r="D31" s="433"/>
      <c r="E31" s="433"/>
      <c r="F31" s="433"/>
      <c r="G31" s="433"/>
      <c r="H31" s="326"/>
      <c r="I31" s="434"/>
      <c r="J31" s="24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6.5" customHeight="1">
      <c r="A32" s="404" t="s">
        <v>96</v>
      </c>
      <c r="B32" s="6"/>
      <c r="C32" s="435" t="s">
        <v>97</v>
      </c>
      <c r="D32" s="5"/>
      <c r="E32" s="5"/>
      <c r="F32" s="5"/>
      <c r="G32" s="5"/>
      <c r="H32" s="6"/>
      <c r="I32" s="24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2.75" customHeight="1">
      <c r="A33" s="152" t="s">
        <v>98</v>
      </c>
      <c r="B33" s="39"/>
      <c r="C33" s="62" t="s">
        <v>99</v>
      </c>
      <c r="D33" s="62"/>
      <c r="E33" s="62"/>
      <c r="F33" s="62"/>
      <c r="G33" s="62"/>
      <c r="H33" s="63"/>
      <c r="I33" s="24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75" customHeight="1">
      <c r="A34" s="64" t="s">
        <v>191</v>
      </c>
      <c r="B34" s="66"/>
      <c r="C34" s="65" t="s">
        <v>101</v>
      </c>
      <c r="D34" s="65"/>
      <c r="E34" s="65"/>
      <c r="F34" s="65"/>
      <c r="G34" s="65"/>
      <c r="H34" s="67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75" customHeight="1">
      <c r="A35" s="436" t="s">
        <v>374</v>
      </c>
      <c r="B35" s="66"/>
      <c r="C35" s="70" t="s">
        <v>375</v>
      </c>
      <c r="D35" s="65"/>
      <c r="E35" s="65"/>
      <c r="F35" s="65"/>
      <c r="G35" s="65"/>
      <c r="H35" s="67"/>
      <c r="I35" s="24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75" customHeight="1">
      <c r="A36" s="60" t="s">
        <v>376</v>
      </c>
      <c r="B36" s="61"/>
      <c r="C36" s="68" t="s">
        <v>105</v>
      </c>
      <c r="D36" s="65"/>
      <c r="E36" s="65"/>
      <c r="F36" s="65"/>
      <c r="G36" s="65"/>
      <c r="H36" s="67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75" customHeight="1">
      <c r="A37" s="69" t="s">
        <v>104</v>
      </c>
      <c r="B37" s="61"/>
      <c r="C37" s="70" t="s">
        <v>107</v>
      </c>
      <c r="D37" s="65"/>
      <c r="E37" s="65"/>
      <c r="F37" s="65"/>
      <c r="G37" s="65"/>
      <c r="H37" s="67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75" customHeight="1">
      <c r="A38" s="69" t="s">
        <v>106</v>
      </c>
      <c r="B38" s="61"/>
      <c r="C38" s="437" t="s">
        <v>377</v>
      </c>
      <c r="D38" s="74"/>
      <c r="E38" s="74"/>
      <c r="F38" s="74"/>
      <c r="G38" s="74"/>
      <c r="H38" s="75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71" t="s">
        <v>378</v>
      </c>
      <c r="B39" s="72"/>
      <c r="C39" s="70"/>
      <c r="D39" s="65"/>
      <c r="E39" s="65"/>
      <c r="F39" s="65"/>
      <c r="G39" s="65"/>
      <c r="H39" s="67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75" customHeight="1">
      <c r="A40" s="438" t="s">
        <v>379</v>
      </c>
      <c r="B40" s="72"/>
      <c r="C40" s="65"/>
      <c r="D40" s="65"/>
      <c r="E40" s="65"/>
      <c r="F40" s="65"/>
      <c r="G40" s="65"/>
      <c r="H40" s="67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75" customHeight="1">
      <c r="A41" s="438" t="s">
        <v>380</v>
      </c>
      <c r="B41" s="72"/>
      <c r="C41" s="65"/>
      <c r="D41" s="65"/>
      <c r="E41" s="65"/>
      <c r="F41" s="65"/>
      <c r="G41" s="65"/>
      <c r="H41" s="67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75" customHeight="1">
      <c r="A42" s="71" t="s">
        <v>216</v>
      </c>
      <c r="B42" s="72"/>
      <c r="C42" s="23"/>
      <c r="D42" s="65"/>
      <c r="E42" s="65"/>
      <c r="F42" s="65"/>
      <c r="G42" s="65"/>
      <c r="H42" s="67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75" customHeight="1">
      <c r="A43" s="71" t="s">
        <v>381</v>
      </c>
      <c r="B43" s="72"/>
      <c r="C43" s="23"/>
      <c r="D43" s="65"/>
      <c r="E43" s="65"/>
      <c r="F43" s="65"/>
      <c r="G43" s="65"/>
      <c r="H43" s="67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>
      <c r="A44" s="71" t="s">
        <v>382</v>
      </c>
      <c r="B44" s="72"/>
      <c r="C44" s="23"/>
      <c r="D44" s="65"/>
      <c r="E44" s="65"/>
      <c r="F44" s="65"/>
      <c r="G44" s="65"/>
      <c r="H44" s="67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75" customHeight="1">
      <c r="A45" s="71" t="s">
        <v>383</v>
      </c>
      <c r="B45" s="72"/>
      <c r="C45" s="439" t="s">
        <v>384</v>
      </c>
      <c r="D45" s="440"/>
      <c r="E45" s="440"/>
      <c r="F45" s="440"/>
      <c r="G45" s="440"/>
      <c r="H45" s="441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75" customHeight="1">
      <c r="A46" s="71" t="s">
        <v>385</v>
      </c>
      <c r="B46" s="72"/>
      <c r="C46" s="71" t="s">
        <v>386</v>
      </c>
      <c r="D46" s="65"/>
      <c r="E46" s="65"/>
      <c r="F46" s="65"/>
      <c r="G46" s="65" t="s">
        <v>387</v>
      </c>
      <c r="H46" s="67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>
      <c r="A47" s="71" t="s">
        <v>388</v>
      </c>
      <c r="B47" s="72"/>
      <c r="C47" s="86"/>
      <c r="D47" s="156"/>
      <c r="E47" s="156"/>
      <c r="F47" s="156"/>
      <c r="G47" s="156" t="s">
        <v>389</v>
      </c>
      <c r="H47" s="442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>
      <c r="A48" s="71"/>
      <c r="B48" s="72"/>
      <c r="C48" s="23" t="s">
        <v>390</v>
      </c>
      <c r="D48" s="65"/>
      <c r="E48" s="65"/>
      <c r="F48" s="65"/>
      <c r="G48" s="65" t="s">
        <v>391</v>
      </c>
      <c r="H48" s="67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75" customHeight="1">
      <c r="A49" s="71"/>
      <c r="B49" s="72"/>
      <c r="C49" s="23"/>
      <c r="D49" s="65"/>
      <c r="E49" s="65"/>
      <c r="F49" s="65"/>
      <c r="G49" s="65" t="s">
        <v>392</v>
      </c>
      <c r="H49" s="67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75" customHeight="1">
      <c r="A50" s="155"/>
      <c r="B50" s="136"/>
      <c r="C50" s="87"/>
      <c r="D50" s="101"/>
      <c r="E50" s="101"/>
      <c r="F50" s="101"/>
      <c r="G50" s="101"/>
      <c r="H50" s="157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0" customHeight="1">
      <c r="A51" s="443" t="s">
        <v>393</v>
      </c>
      <c r="B51" s="89"/>
      <c r="C51" s="89"/>
      <c r="D51" s="89"/>
      <c r="E51" s="89"/>
      <c r="F51" s="89"/>
      <c r="G51" s="89"/>
      <c r="H51" s="90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0" customHeight="1">
      <c r="A52" s="444"/>
      <c r="B52" s="445"/>
      <c r="C52" s="446" t="s">
        <v>394</v>
      </c>
      <c r="D52" s="447"/>
      <c r="E52" s="445"/>
      <c r="F52" s="445"/>
      <c r="G52" s="447"/>
      <c r="H52" s="448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0" customHeight="1">
      <c r="A53" s="449" t="s">
        <v>114</v>
      </c>
      <c r="B53" s="23" t="s">
        <v>115</v>
      </c>
      <c r="C53" s="85" t="s">
        <v>137</v>
      </c>
      <c r="D53" s="85"/>
      <c r="E53" s="106"/>
      <c r="F53" s="106"/>
      <c r="G53" s="106"/>
      <c r="H53" s="450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0" customHeight="1">
      <c r="A54" s="451" t="s">
        <v>117</v>
      </c>
      <c r="B54" s="85" t="s">
        <v>224</v>
      </c>
      <c r="C54" s="85" t="s">
        <v>225</v>
      </c>
      <c r="D54" s="85"/>
      <c r="E54" s="106"/>
      <c r="F54" s="106"/>
      <c r="G54" s="106"/>
      <c r="H54" s="450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0" customHeight="1">
      <c r="A55" s="451" t="s">
        <v>121</v>
      </c>
      <c r="B55" s="85" t="s">
        <v>395</v>
      </c>
      <c r="C55" s="85" t="s">
        <v>225</v>
      </c>
      <c r="D55" s="85"/>
      <c r="E55" s="106"/>
      <c r="F55" s="106"/>
      <c r="G55" s="106"/>
      <c r="H55" s="450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0" customHeight="1">
      <c r="A56" s="451" t="s">
        <v>194</v>
      </c>
      <c r="B56" s="85" t="s">
        <v>122</v>
      </c>
      <c r="C56" s="85" t="s">
        <v>119</v>
      </c>
      <c r="D56" s="85"/>
      <c r="E56" s="106"/>
      <c r="F56" s="106"/>
      <c r="G56" s="106"/>
      <c r="H56" s="450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8.25" customHeight="1">
      <c r="A57" s="452"/>
      <c r="B57" s="161"/>
      <c r="C57" s="161"/>
      <c r="D57" s="161"/>
      <c r="E57" s="101"/>
      <c r="F57" s="101"/>
      <c r="G57" s="101"/>
      <c r="H57" s="157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0" customHeight="1">
      <c r="A58" s="453"/>
      <c r="B58" s="454"/>
      <c r="C58" s="455" t="s">
        <v>396</v>
      </c>
      <c r="D58" s="85"/>
      <c r="E58" s="106"/>
      <c r="F58" s="106"/>
      <c r="G58" s="106"/>
      <c r="H58" s="450"/>
      <c r="I58" s="24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0" customHeight="1">
      <c r="A59" s="449" t="s">
        <v>114</v>
      </c>
      <c r="B59" s="23" t="s">
        <v>397</v>
      </c>
      <c r="C59" s="85" t="s">
        <v>137</v>
      </c>
      <c r="D59" s="85"/>
      <c r="E59" s="106"/>
      <c r="F59" s="106"/>
      <c r="G59" s="106"/>
      <c r="H59" s="450"/>
      <c r="I59" s="24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0" customHeight="1">
      <c r="A60" s="451" t="s">
        <v>117</v>
      </c>
      <c r="B60" s="85" t="s">
        <v>395</v>
      </c>
      <c r="C60" s="85" t="s">
        <v>225</v>
      </c>
      <c r="D60" s="85"/>
      <c r="E60" s="106"/>
      <c r="F60" s="106"/>
      <c r="G60" s="106"/>
      <c r="H60" s="450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0" customHeight="1">
      <c r="A61" s="451" t="s">
        <v>121</v>
      </c>
      <c r="B61" s="85" t="s">
        <v>118</v>
      </c>
      <c r="C61" s="85" t="s">
        <v>225</v>
      </c>
      <c r="D61" s="85"/>
      <c r="E61" s="106"/>
      <c r="F61" s="106"/>
      <c r="G61" s="106"/>
      <c r="H61" s="450"/>
      <c r="I61" s="24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0" customHeight="1">
      <c r="A62" s="452" t="s">
        <v>194</v>
      </c>
      <c r="B62" s="161" t="s">
        <v>122</v>
      </c>
      <c r="C62" s="161" t="s">
        <v>119</v>
      </c>
      <c r="D62" s="161"/>
      <c r="E62" s="101"/>
      <c r="F62" s="101"/>
      <c r="G62" s="101"/>
      <c r="H62" s="157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456" t="s">
        <v>148</v>
      </c>
      <c r="B63" s="28"/>
      <c r="C63" s="28"/>
      <c r="D63" s="457" t="s">
        <v>149</v>
      </c>
      <c r="E63" s="28"/>
      <c r="F63" s="28"/>
      <c r="G63" s="28"/>
      <c r="H63" s="458"/>
      <c r="I63" s="24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ht="13.5" customHeight="1">
      <c r="A64" s="459" t="s">
        <v>398</v>
      </c>
      <c r="B64" s="460"/>
      <c r="C64" s="461"/>
      <c r="D64" s="118">
        <v>1.0</v>
      </c>
      <c r="E64" s="62" t="s">
        <v>151</v>
      </c>
      <c r="F64" s="62"/>
      <c r="G64" s="119"/>
      <c r="H64" s="120"/>
      <c r="I64" s="24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ht="13.5" customHeight="1">
      <c r="A65" s="116" t="s">
        <v>399</v>
      </c>
      <c r="B65" s="91"/>
      <c r="C65" s="165"/>
      <c r="D65" s="121">
        <v>0.5</v>
      </c>
      <c r="E65" s="122" t="s">
        <v>153</v>
      </c>
      <c r="F65" s="122"/>
      <c r="G65" s="123"/>
      <c r="H65" s="124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3.5" customHeight="1">
      <c r="A66" s="125" t="s">
        <v>400</v>
      </c>
      <c r="B66" s="23"/>
      <c r="C66" s="72"/>
      <c r="D66" s="121">
        <v>0.0</v>
      </c>
      <c r="E66" s="122" t="s">
        <v>155</v>
      </c>
      <c r="F66" s="122"/>
      <c r="G66" s="123"/>
      <c r="H66" s="124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3.5" customHeight="1">
      <c r="A67" s="127" t="s">
        <v>401</v>
      </c>
      <c r="B67" s="23"/>
      <c r="C67" s="72"/>
      <c r="D67" s="129"/>
      <c r="E67" s="65"/>
      <c r="F67" s="65"/>
      <c r="G67" s="130"/>
      <c r="H67" s="131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3.5" customHeight="1">
      <c r="A68" s="127" t="s">
        <v>402</v>
      </c>
      <c r="B68" s="23"/>
      <c r="C68" s="72"/>
      <c r="D68" s="71"/>
      <c r="E68" s="23"/>
      <c r="F68" s="23"/>
      <c r="G68" s="23"/>
      <c r="H68" s="72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3.5" customHeight="1">
      <c r="A69" s="127" t="s">
        <v>403</v>
      </c>
      <c r="B69" s="23"/>
      <c r="C69" s="72"/>
      <c r="D69" s="23"/>
      <c r="E69" s="23"/>
      <c r="F69" s="23"/>
      <c r="G69" s="23"/>
      <c r="H69" s="72"/>
      <c r="I69" s="24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3.5" customHeight="1">
      <c r="A70" s="127" t="s">
        <v>404</v>
      </c>
      <c r="B70" s="23"/>
      <c r="C70" s="72"/>
      <c r="D70" s="23"/>
      <c r="E70" s="23"/>
      <c r="F70" s="23"/>
      <c r="G70" s="23"/>
      <c r="H70" s="72"/>
      <c r="I70" s="24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3.5" customHeight="1">
      <c r="A71" s="127" t="s">
        <v>405</v>
      </c>
      <c r="B71" s="23"/>
      <c r="C71" s="72"/>
      <c r="D71" s="23"/>
      <c r="E71" s="23"/>
      <c r="F71" s="23"/>
      <c r="G71" s="23"/>
      <c r="H71" s="72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132" t="s">
        <v>161</v>
      </c>
      <c r="B72" s="134" t="s">
        <v>163</v>
      </c>
      <c r="C72" s="72"/>
      <c r="D72" s="23"/>
      <c r="E72" s="23"/>
      <c r="F72" s="23"/>
      <c r="G72" s="23"/>
      <c r="H72" s="72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125" t="s">
        <v>406</v>
      </c>
      <c r="B73" s="23"/>
      <c r="C73" s="72"/>
      <c r="D73" s="23"/>
      <c r="E73" s="23"/>
      <c r="F73" s="23"/>
      <c r="G73" s="23"/>
      <c r="H73" s="72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71" t="s">
        <v>164</v>
      </c>
      <c r="B74" s="135" t="s">
        <v>165</v>
      </c>
      <c r="C74" s="462"/>
      <c r="D74" s="23"/>
      <c r="E74" s="23"/>
      <c r="F74" s="23"/>
      <c r="G74" s="23"/>
      <c r="H74" s="72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71" t="s">
        <v>166</v>
      </c>
      <c r="B75" s="135" t="s">
        <v>167</v>
      </c>
      <c r="C75" s="462"/>
      <c r="D75" s="23"/>
      <c r="E75" s="23"/>
      <c r="F75" s="23"/>
      <c r="G75" s="23"/>
      <c r="H75" s="72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71" t="s">
        <v>168</v>
      </c>
      <c r="B76" s="135" t="s">
        <v>169</v>
      </c>
      <c r="C76" s="462"/>
      <c r="D76" s="23"/>
      <c r="E76" s="23"/>
      <c r="F76" s="23"/>
      <c r="G76" s="23"/>
      <c r="H76" s="72"/>
      <c r="I76" s="2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71" t="s">
        <v>170</v>
      </c>
      <c r="B77" s="23" t="s">
        <v>171</v>
      </c>
      <c r="C77" s="72"/>
      <c r="D77" s="23"/>
      <c r="E77" s="23"/>
      <c r="F77" s="23"/>
      <c r="G77" s="23"/>
      <c r="H77" s="72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3.5" customHeight="1">
      <c r="A78" s="86" t="s">
        <v>172</v>
      </c>
      <c r="B78" s="87" t="s">
        <v>173</v>
      </c>
      <c r="C78" s="136"/>
      <c r="D78" s="87"/>
      <c r="E78" s="87"/>
      <c r="F78" s="87"/>
      <c r="G78" s="87"/>
      <c r="H78" s="136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3.5" customHeight="1">
      <c r="A79" s="456" t="s">
        <v>174</v>
      </c>
      <c r="B79" s="28"/>
      <c r="C79" s="28"/>
      <c r="D79" s="28"/>
      <c r="E79" s="28"/>
      <c r="F79" s="28"/>
      <c r="G79" s="28"/>
      <c r="H79" s="458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3.5" customHeight="1">
      <c r="A80" s="64" t="s">
        <v>175</v>
      </c>
      <c r="B80" s="65"/>
      <c r="C80" s="65"/>
      <c r="D80" s="65"/>
      <c r="E80" s="65"/>
      <c r="F80" s="65"/>
      <c r="G80" s="65"/>
      <c r="H80" s="67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3.5" customHeight="1">
      <c r="A81" s="64" t="s">
        <v>176</v>
      </c>
      <c r="B81" s="65"/>
      <c r="C81" s="65"/>
      <c r="D81" s="65"/>
      <c r="E81" s="65"/>
      <c r="F81" s="65"/>
      <c r="G81" s="65"/>
      <c r="H81" s="67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3.5" customHeight="1">
      <c r="A82" s="64" t="s">
        <v>177</v>
      </c>
      <c r="B82" s="65"/>
      <c r="C82" s="65"/>
      <c r="D82" s="65"/>
      <c r="E82" s="65"/>
      <c r="F82" s="65"/>
      <c r="G82" s="65"/>
      <c r="H82" s="67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3.5" customHeight="1">
      <c r="A83" s="64" t="s">
        <v>407</v>
      </c>
      <c r="B83" s="65"/>
      <c r="C83" s="65"/>
      <c r="D83" s="65"/>
      <c r="E83" s="65"/>
      <c r="F83" s="65"/>
      <c r="G83" s="65"/>
      <c r="H83" s="67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2.75" customHeight="1">
      <c r="A84" s="60" t="s">
        <v>179</v>
      </c>
      <c r="H84" s="61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0" customHeight="1">
      <c r="A85" s="137" t="s">
        <v>180</v>
      </c>
      <c r="H85" s="61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3.5" customHeight="1">
      <c r="A86" s="138" t="s">
        <v>181</v>
      </c>
      <c r="B86" s="65"/>
      <c r="C86" s="65"/>
      <c r="D86" s="65"/>
      <c r="E86" s="65"/>
      <c r="F86" s="65"/>
      <c r="G86" s="65"/>
      <c r="H86" s="67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3.5" customHeight="1">
      <c r="A87" s="64" t="s">
        <v>182</v>
      </c>
      <c r="B87" s="65"/>
      <c r="C87" s="65"/>
      <c r="D87" s="65"/>
      <c r="E87" s="65"/>
      <c r="F87" s="65"/>
      <c r="G87" s="65"/>
      <c r="H87" s="67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26.25" customHeight="1">
      <c r="A88" s="78" t="s">
        <v>408</v>
      </c>
      <c r="B88" s="45"/>
      <c r="C88" s="45"/>
      <c r="D88" s="45"/>
      <c r="E88" s="45"/>
      <c r="F88" s="45"/>
      <c r="G88" s="45"/>
      <c r="H88" s="46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3.5" customHeight="1">
      <c r="A271" s="23"/>
      <c r="B271" s="23"/>
      <c r="C271" s="23"/>
      <c r="D271" s="23"/>
      <c r="E271" s="23"/>
      <c r="F271" s="23"/>
      <c r="G271" s="23"/>
      <c r="H271" s="23"/>
      <c r="I271" s="24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3.5" customHeight="1">
      <c r="A272" s="23"/>
      <c r="B272" s="23"/>
      <c r="C272" s="23"/>
      <c r="D272" s="23"/>
      <c r="E272" s="23"/>
      <c r="F272" s="23"/>
      <c r="G272" s="23"/>
      <c r="H272" s="23"/>
      <c r="I272" s="24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3.5" customHeight="1">
      <c r="A273" s="23"/>
      <c r="B273" s="23"/>
      <c r="C273" s="23"/>
      <c r="D273" s="23"/>
      <c r="E273" s="23"/>
      <c r="F273" s="23"/>
      <c r="G273" s="23"/>
      <c r="H273" s="23"/>
      <c r="I273" s="24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3.5" customHeight="1">
      <c r="A274" s="23"/>
      <c r="B274" s="23"/>
      <c r="C274" s="23"/>
      <c r="D274" s="23"/>
      <c r="E274" s="23"/>
      <c r="F274" s="23"/>
      <c r="G274" s="23"/>
      <c r="H274" s="23"/>
      <c r="I274" s="24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3.5" customHeight="1">
      <c r="A275" s="23"/>
      <c r="B275" s="23"/>
      <c r="C275" s="23"/>
      <c r="D275" s="23"/>
      <c r="E275" s="23"/>
      <c r="F275" s="23"/>
      <c r="G275" s="23"/>
      <c r="H275" s="23"/>
      <c r="I275" s="24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3.5" customHeight="1">
      <c r="A276" s="23"/>
      <c r="B276" s="23"/>
      <c r="C276" s="23"/>
      <c r="D276" s="23"/>
      <c r="E276" s="23"/>
      <c r="F276" s="23"/>
      <c r="G276" s="23"/>
      <c r="H276" s="23"/>
      <c r="I276" s="24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3.5" customHeight="1">
      <c r="A277" s="23"/>
      <c r="B277" s="23"/>
      <c r="C277" s="23"/>
      <c r="D277" s="23"/>
      <c r="E277" s="23"/>
      <c r="F277" s="23"/>
      <c r="G277" s="23"/>
      <c r="H277" s="23"/>
      <c r="I277" s="24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3.5" customHeight="1">
      <c r="A278" s="23"/>
      <c r="B278" s="23"/>
      <c r="C278" s="23"/>
      <c r="D278" s="23"/>
      <c r="E278" s="23"/>
      <c r="F278" s="23"/>
      <c r="G278" s="23"/>
      <c r="H278" s="23"/>
      <c r="I278" s="24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3.5" customHeight="1">
      <c r="A279" s="23"/>
      <c r="B279" s="23"/>
      <c r="C279" s="23"/>
      <c r="D279" s="23"/>
      <c r="E279" s="23"/>
      <c r="F279" s="23"/>
      <c r="G279" s="23"/>
      <c r="H279" s="23"/>
      <c r="I279" s="24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3.5" customHeight="1">
      <c r="A280" s="23"/>
      <c r="B280" s="23"/>
      <c r="C280" s="23"/>
      <c r="D280" s="23"/>
      <c r="E280" s="23"/>
      <c r="F280" s="23"/>
      <c r="G280" s="23"/>
      <c r="H280" s="23"/>
      <c r="I280" s="24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3.5" customHeight="1">
      <c r="A281" s="23"/>
      <c r="B281" s="23"/>
      <c r="C281" s="23"/>
      <c r="D281" s="23"/>
      <c r="E281" s="23"/>
      <c r="F281" s="23"/>
      <c r="G281" s="23"/>
      <c r="H281" s="23"/>
      <c r="I281" s="24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3.5" customHeight="1">
      <c r="A282" s="23"/>
      <c r="B282" s="23"/>
      <c r="C282" s="23"/>
      <c r="D282" s="23"/>
      <c r="E282" s="23"/>
      <c r="F282" s="23"/>
      <c r="G282" s="23"/>
      <c r="H282" s="23"/>
      <c r="I282" s="24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3.5" customHeight="1">
      <c r="A283" s="23"/>
      <c r="B283" s="23"/>
      <c r="C283" s="23"/>
      <c r="D283" s="23"/>
      <c r="E283" s="23"/>
      <c r="F283" s="23"/>
      <c r="G283" s="23"/>
      <c r="H283" s="23"/>
      <c r="I283" s="24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3.5" customHeight="1">
      <c r="A284" s="23"/>
      <c r="B284" s="23"/>
      <c r="C284" s="23"/>
      <c r="D284" s="23"/>
      <c r="E284" s="23"/>
      <c r="F284" s="23"/>
      <c r="G284" s="23"/>
      <c r="H284" s="23"/>
      <c r="I284" s="24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3.5" customHeight="1">
      <c r="A285" s="23"/>
      <c r="B285" s="23"/>
      <c r="C285" s="23"/>
      <c r="D285" s="23"/>
      <c r="E285" s="23"/>
      <c r="F285" s="23"/>
      <c r="G285" s="23"/>
      <c r="H285" s="23"/>
      <c r="I285" s="24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3.5" customHeight="1">
      <c r="A286" s="23"/>
      <c r="B286" s="23"/>
      <c r="C286" s="23"/>
      <c r="D286" s="23"/>
      <c r="E286" s="23"/>
      <c r="F286" s="23"/>
      <c r="G286" s="23"/>
      <c r="H286" s="23"/>
      <c r="I286" s="24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3.5" customHeight="1">
      <c r="A287" s="23"/>
      <c r="B287" s="23"/>
      <c r="C287" s="23"/>
      <c r="D287" s="23"/>
      <c r="E287" s="23"/>
      <c r="F287" s="23"/>
      <c r="G287" s="23"/>
      <c r="H287" s="23"/>
      <c r="I287" s="24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3.5" customHeight="1">
      <c r="A288" s="23"/>
      <c r="B288" s="23"/>
      <c r="C288" s="23"/>
      <c r="D288" s="23"/>
      <c r="E288" s="23"/>
      <c r="F288" s="23"/>
      <c r="G288" s="23"/>
      <c r="H288" s="23"/>
      <c r="I288" s="24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6:B7"/>
    <mergeCell ref="C6:C7"/>
    <mergeCell ref="A10:A13"/>
    <mergeCell ref="A22:A25"/>
    <mergeCell ref="A2:C2"/>
    <mergeCell ref="A3:C3"/>
    <mergeCell ref="A4:A5"/>
    <mergeCell ref="B4:B5"/>
    <mergeCell ref="C4:C5"/>
    <mergeCell ref="D4:H4"/>
    <mergeCell ref="A6:A7"/>
    <mergeCell ref="H6:H7"/>
    <mergeCell ref="D6:E7"/>
    <mergeCell ref="F6:G6"/>
    <mergeCell ref="F7:G7"/>
    <mergeCell ref="C16:H18"/>
    <mergeCell ref="C28:H30"/>
    <mergeCell ref="A31:H31"/>
    <mergeCell ref="C32:H32"/>
    <mergeCell ref="D63:H63"/>
    <mergeCell ref="A79:H79"/>
    <mergeCell ref="A84:H84"/>
    <mergeCell ref="A85:H85"/>
    <mergeCell ref="A88:H88"/>
    <mergeCell ref="A32:B32"/>
    <mergeCell ref="A33:B33"/>
    <mergeCell ref="A36:B36"/>
    <mergeCell ref="A37:B37"/>
    <mergeCell ref="A38:B38"/>
    <mergeCell ref="A51:H51"/>
    <mergeCell ref="A63:C63"/>
  </mergeCells>
  <printOptions/>
  <pageMargins bottom="0.0" footer="0.0" header="0.0" left="0.1968503937007874" right="0.0" top="0.1968503937007874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5.29"/>
    <col customWidth="1" min="3" max="3" width="26.71"/>
    <col customWidth="1" min="4" max="4" width="9.71"/>
    <col customWidth="1" min="5" max="5" width="8.71"/>
    <col customWidth="1" min="6" max="6" width="8.29"/>
    <col customWidth="1" min="7" max="7" width="9.86"/>
    <col customWidth="1" min="8" max="8" width="17.14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409</v>
      </c>
      <c r="B2" s="26"/>
      <c r="C2" s="26"/>
      <c r="D2" s="463"/>
      <c r="E2" s="463"/>
      <c r="F2" s="391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410</v>
      </c>
      <c r="B3" s="28"/>
      <c r="C3" s="28"/>
      <c r="D3" s="29" t="s">
        <v>72</v>
      </c>
      <c r="E3" s="23"/>
      <c r="F3" s="23"/>
      <c r="G3" s="23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7.0" customHeight="1">
      <c r="A5" s="32"/>
      <c r="B5" s="32"/>
      <c r="C5" s="32"/>
      <c r="D5" s="405" t="s">
        <v>76</v>
      </c>
      <c r="E5" s="405" t="s">
        <v>77</v>
      </c>
      <c r="F5" s="405" t="s">
        <v>78</v>
      </c>
      <c r="G5" s="405" t="s">
        <v>79</v>
      </c>
      <c r="H5" s="405" t="s">
        <v>80</v>
      </c>
      <c r="I5" s="24"/>
      <c r="J5" s="23"/>
      <c r="K5" s="23"/>
      <c r="L5" s="464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140"/>
      <c r="B6" s="406"/>
      <c r="C6" s="141"/>
      <c r="D6" s="40" t="s">
        <v>82</v>
      </c>
      <c r="E6" s="39"/>
      <c r="F6" s="41" t="s">
        <v>83</v>
      </c>
      <c r="G6" s="26"/>
      <c r="H6" s="142" t="s">
        <v>411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1.25" customHeight="1">
      <c r="A7" s="108"/>
      <c r="C7" s="61"/>
      <c r="D7" s="465"/>
      <c r="E7" s="61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407" t="s">
        <v>412</v>
      </c>
      <c r="B8" s="408"/>
      <c r="C8" s="124"/>
      <c r="D8" s="52"/>
      <c r="E8" s="53"/>
      <c r="F8" s="53"/>
      <c r="G8" s="53"/>
      <c r="H8" s="53"/>
      <c r="I8" s="55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411" t="s">
        <v>355</v>
      </c>
      <c r="B9" s="412" t="s">
        <v>413</v>
      </c>
      <c r="C9" s="413" t="s">
        <v>357</v>
      </c>
      <c r="D9" s="52">
        <v>3680.0</v>
      </c>
      <c r="E9" s="53">
        <f t="shared" ref="E9:E14" si="1">SUM(D9)</f>
        <v>3680</v>
      </c>
      <c r="F9" s="53">
        <f t="shared" ref="F9:F14" si="2">D9-(D9*0.2)</f>
        <v>2944</v>
      </c>
      <c r="G9" s="53">
        <f t="shared" ref="G9:G14" si="3">E9-(E9*0.3)</f>
        <v>2576</v>
      </c>
      <c r="H9" s="53">
        <v>500.0</v>
      </c>
      <c r="I9" s="5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466" t="s">
        <v>358</v>
      </c>
      <c r="B10" s="412" t="s">
        <v>359</v>
      </c>
      <c r="C10" s="413" t="s">
        <v>360</v>
      </c>
      <c r="D10" s="52">
        <v>3380.0</v>
      </c>
      <c r="E10" s="53">
        <f t="shared" si="1"/>
        <v>3380</v>
      </c>
      <c r="F10" s="53">
        <f t="shared" si="2"/>
        <v>2704</v>
      </c>
      <c r="G10" s="53">
        <f t="shared" si="3"/>
        <v>2366</v>
      </c>
      <c r="H10" s="53">
        <v>500.0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415"/>
      <c r="B11" s="412"/>
      <c r="C11" s="413" t="s">
        <v>361</v>
      </c>
      <c r="D11" s="52">
        <v>3500.0</v>
      </c>
      <c r="E11" s="53">
        <f t="shared" si="1"/>
        <v>3500</v>
      </c>
      <c r="F11" s="53">
        <f t="shared" si="2"/>
        <v>2800</v>
      </c>
      <c r="G11" s="53">
        <f t="shared" si="3"/>
        <v>2450</v>
      </c>
      <c r="H11" s="53">
        <v>500.0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6.5" customHeight="1">
      <c r="A12" s="467"/>
      <c r="B12" s="412"/>
      <c r="C12" s="413" t="s">
        <v>362</v>
      </c>
      <c r="D12" s="52">
        <v>3380.0</v>
      </c>
      <c r="E12" s="53">
        <f t="shared" si="1"/>
        <v>3380</v>
      </c>
      <c r="F12" s="53">
        <f t="shared" si="2"/>
        <v>2704</v>
      </c>
      <c r="G12" s="53">
        <f t="shared" si="3"/>
        <v>2366</v>
      </c>
      <c r="H12" s="53">
        <v>500.0</v>
      </c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468"/>
      <c r="B13" s="469"/>
      <c r="C13" s="413" t="s">
        <v>363</v>
      </c>
      <c r="D13" s="52">
        <v>3500.0</v>
      </c>
      <c r="E13" s="53">
        <f t="shared" si="1"/>
        <v>3500</v>
      </c>
      <c r="F13" s="53">
        <f t="shared" si="2"/>
        <v>2800</v>
      </c>
      <c r="G13" s="53">
        <f t="shared" si="3"/>
        <v>2450</v>
      </c>
      <c r="H13" s="53">
        <v>500.0</v>
      </c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470"/>
      <c r="B14" s="471"/>
      <c r="C14" s="418" t="s">
        <v>364</v>
      </c>
      <c r="D14" s="52">
        <v>4180.0</v>
      </c>
      <c r="E14" s="53">
        <f t="shared" si="1"/>
        <v>4180</v>
      </c>
      <c r="F14" s="53">
        <f t="shared" si="2"/>
        <v>3344</v>
      </c>
      <c r="G14" s="53">
        <f t="shared" si="3"/>
        <v>2926</v>
      </c>
      <c r="H14" s="53">
        <v>500.0</v>
      </c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4.5" customHeight="1">
      <c r="A15" s="472"/>
      <c r="B15" s="473"/>
      <c r="C15" s="474"/>
      <c r="D15" s="474"/>
      <c r="E15" s="474"/>
      <c r="F15" s="474"/>
      <c r="G15" s="474"/>
      <c r="H15" s="47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407" t="s">
        <v>414</v>
      </c>
      <c r="B16" s="476"/>
      <c r="C16" s="422" t="s">
        <v>366</v>
      </c>
      <c r="D16" s="38"/>
      <c r="E16" s="38"/>
      <c r="F16" s="38"/>
      <c r="G16" s="38"/>
      <c r="H16" s="39"/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6.5" customHeight="1">
      <c r="A17" s="423" t="s">
        <v>355</v>
      </c>
      <c r="B17" s="412" t="s">
        <v>413</v>
      </c>
      <c r="C17" s="108"/>
      <c r="H17" s="61"/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6.5" customHeight="1">
      <c r="A18" s="477" t="s">
        <v>367</v>
      </c>
      <c r="B18" s="412" t="s">
        <v>359</v>
      </c>
      <c r="C18" s="44"/>
      <c r="D18" s="45"/>
      <c r="E18" s="45"/>
      <c r="F18" s="45"/>
      <c r="G18" s="45"/>
      <c r="H18" s="46"/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9.75" customHeight="1">
      <c r="A19" s="478"/>
      <c r="B19" s="479"/>
      <c r="C19" s="479"/>
      <c r="D19" s="479"/>
      <c r="E19" s="479"/>
      <c r="F19" s="479"/>
      <c r="G19" s="479"/>
      <c r="H19" s="480"/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6.5" customHeight="1">
      <c r="A20" s="407" t="s">
        <v>415</v>
      </c>
      <c r="B20" s="408"/>
      <c r="C20" s="418"/>
      <c r="D20" s="52"/>
      <c r="E20" s="53"/>
      <c r="F20" s="53"/>
      <c r="G20" s="53"/>
      <c r="H20" s="53"/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6.5" customHeight="1">
      <c r="A21" s="411" t="s">
        <v>355</v>
      </c>
      <c r="B21" s="412" t="s">
        <v>356</v>
      </c>
      <c r="C21" s="413" t="s">
        <v>357</v>
      </c>
      <c r="D21" s="52">
        <v>4200.0</v>
      </c>
      <c r="E21" s="53">
        <f t="shared" ref="E21:E26" si="4">SUM(D21)</f>
        <v>4200</v>
      </c>
      <c r="F21" s="53">
        <f t="shared" ref="F21:F26" si="5">D21-(D21*0.2)</f>
        <v>3360</v>
      </c>
      <c r="G21" s="53">
        <f t="shared" ref="G21:G26" si="6">E21-(E21*0.3)</f>
        <v>2940</v>
      </c>
      <c r="H21" s="53">
        <v>500.0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6.5" customHeight="1">
      <c r="A22" s="466" t="s">
        <v>358</v>
      </c>
      <c r="B22" s="412" t="s">
        <v>370</v>
      </c>
      <c r="C22" s="413" t="s">
        <v>360</v>
      </c>
      <c r="D22" s="52">
        <v>3900.0</v>
      </c>
      <c r="E22" s="53">
        <f t="shared" si="4"/>
        <v>3900</v>
      </c>
      <c r="F22" s="53">
        <f t="shared" si="5"/>
        <v>3120</v>
      </c>
      <c r="G22" s="53">
        <f t="shared" si="6"/>
        <v>2730</v>
      </c>
      <c r="H22" s="53">
        <v>500.0</v>
      </c>
      <c r="I22" s="5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6.5" customHeight="1">
      <c r="A23" s="415"/>
      <c r="B23" s="412"/>
      <c r="C23" s="413" t="s">
        <v>361</v>
      </c>
      <c r="D23" s="52">
        <v>4100.0</v>
      </c>
      <c r="E23" s="53">
        <f t="shared" si="4"/>
        <v>4100</v>
      </c>
      <c r="F23" s="53">
        <f t="shared" si="5"/>
        <v>3280</v>
      </c>
      <c r="G23" s="53">
        <f t="shared" si="6"/>
        <v>2870</v>
      </c>
      <c r="H23" s="53">
        <v>500.0</v>
      </c>
      <c r="I23" s="5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6.5" customHeight="1">
      <c r="A24" s="467"/>
      <c r="B24" s="412"/>
      <c r="C24" s="413" t="s">
        <v>362</v>
      </c>
      <c r="D24" s="52">
        <v>3900.0</v>
      </c>
      <c r="E24" s="53">
        <f t="shared" si="4"/>
        <v>3900</v>
      </c>
      <c r="F24" s="53">
        <f t="shared" si="5"/>
        <v>3120</v>
      </c>
      <c r="G24" s="53">
        <f t="shared" si="6"/>
        <v>2730</v>
      </c>
      <c r="H24" s="53">
        <v>500.0</v>
      </c>
      <c r="I24" s="5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6.5" customHeight="1">
      <c r="A25" s="468"/>
      <c r="B25" s="469"/>
      <c r="C25" s="413" t="s">
        <v>363</v>
      </c>
      <c r="D25" s="52">
        <v>4100.0</v>
      </c>
      <c r="E25" s="53">
        <f t="shared" si="4"/>
        <v>4100</v>
      </c>
      <c r="F25" s="53">
        <f t="shared" si="5"/>
        <v>3280</v>
      </c>
      <c r="G25" s="53">
        <f t="shared" si="6"/>
        <v>2870</v>
      </c>
      <c r="H25" s="53">
        <v>500.0</v>
      </c>
      <c r="I25" s="5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6.5" customHeight="1">
      <c r="A26" s="470"/>
      <c r="B26" s="471"/>
      <c r="C26" s="418" t="s">
        <v>364</v>
      </c>
      <c r="D26" s="52">
        <v>4880.0</v>
      </c>
      <c r="E26" s="53">
        <f t="shared" si="4"/>
        <v>4880</v>
      </c>
      <c r="F26" s="53">
        <f t="shared" si="5"/>
        <v>3904</v>
      </c>
      <c r="G26" s="53">
        <f t="shared" si="6"/>
        <v>3416</v>
      </c>
      <c r="H26" s="53">
        <v>500.0</v>
      </c>
      <c r="I26" s="55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4.5" customHeight="1">
      <c r="A27" s="419"/>
      <c r="B27" s="481"/>
      <c r="C27" s="482"/>
      <c r="D27" s="482"/>
      <c r="E27" s="482"/>
      <c r="F27" s="482"/>
      <c r="G27" s="482"/>
      <c r="H27" s="483"/>
      <c r="I27" s="55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6.5" customHeight="1">
      <c r="A28" s="407" t="s">
        <v>416</v>
      </c>
      <c r="B28" s="408"/>
      <c r="C28" s="422" t="s">
        <v>366</v>
      </c>
      <c r="D28" s="38"/>
      <c r="E28" s="38"/>
      <c r="F28" s="38"/>
      <c r="G28" s="38"/>
      <c r="H28" s="39"/>
      <c r="I28" s="55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6.5" customHeight="1">
      <c r="A29" s="423" t="s">
        <v>355</v>
      </c>
      <c r="B29" s="412" t="s">
        <v>356</v>
      </c>
      <c r="C29" s="108"/>
      <c r="H29" s="61"/>
      <c r="I29" s="55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6.5" customHeight="1">
      <c r="A30" s="477" t="s">
        <v>367</v>
      </c>
      <c r="B30" s="412" t="s">
        <v>370</v>
      </c>
      <c r="C30" s="429"/>
      <c r="D30" s="430"/>
      <c r="E30" s="430"/>
      <c r="F30" s="430"/>
      <c r="G30" s="430"/>
      <c r="H30" s="431"/>
      <c r="I30" s="55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4.0" customHeight="1">
      <c r="A31" s="484" t="s">
        <v>373</v>
      </c>
      <c r="B31" s="485"/>
      <c r="C31" s="485"/>
      <c r="D31" s="485"/>
      <c r="E31" s="485"/>
      <c r="F31" s="485"/>
      <c r="G31" s="485"/>
      <c r="H31" s="486"/>
      <c r="I31" s="487"/>
      <c r="J31" s="24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6.5" customHeight="1">
      <c r="A32" s="404" t="s">
        <v>96</v>
      </c>
      <c r="B32" s="6"/>
      <c r="C32" s="435" t="s">
        <v>97</v>
      </c>
      <c r="D32" s="5"/>
      <c r="E32" s="5"/>
      <c r="F32" s="5"/>
      <c r="G32" s="5"/>
      <c r="H32" s="6"/>
      <c r="I32" s="24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2.0" customHeight="1">
      <c r="A33" s="152" t="s">
        <v>98</v>
      </c>
      <c r="B33" s="39"/>
      <c r="C33" s="62" t="s">
        <v>99</v>
      </c>
      <c r="D33" s="62"/>
      <c r="E33" s="62"/>
      <c r="F33" s="62"/>
      <c r="G33" s="62"/>
      <c r="H33" s="63"/>
      <c r="I33" s="24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0" customHeight="1">
      <c r="A34" s="64" t="s">
        <v>246</v>
      </c>
      <c r="B34" s="66"/>
      <c r="C34" s="65" t="s">
        <v>101</v>
      </c>
      <c r="D34" s="65"/>
      <c r="E34" s="65"/>
      <c r="F34" s="65"/>
      <c r="G34" s="65"/>
      <c r="H34" s="67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0" customHeight="1">
      <c r="A35" s="436" t="s">
        <v>417</v>
      </c>
      <c r="B35" s="66"/>
      <c r="C35" s="68" t="s">
        <v>120</v>
      </c>
      <c r="D35" s="65"/>
      <c r="E35" s="65"/>
      <c r="F35" s="65"/>
      <c r="G35" s="65"/>
      <c r="H35" s="67"/>
      <c r="I35" s="24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0" customHeight="1">
      <c r="A36" s="60" t="s">
        <v>376</v>
      </c>
      <c r="B36" s="61"/>
      <c r="C36" s="68" t="s">
        <v>105</v>
      </c>
      <c r="D36" s="65"/>
      <c r="E36" s="65"/>
      <c r="F36" s="65"/>
      <c r="G36" s="65"/>
      <c r="H36" s="67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0" customHeight="1">
      <c r="A37" s="69" t="s">
        <v>104</v>
      </c>
      <c r="B37" s="61"/>
      <c r="C37" s="68" t="s">
        <v>107</v>
      </c>
      <c r="D37" s="65"/>
      <c r="E37" s="65"/>
      <c r="F37" s="65"/>
      <c r="G37" s="65"/>
      <c r="H37" s="67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0" customHeight="1">
      <c r="A38" s="69" t="s">
        <v>106</v>
      </c>
      <c r="B38" s="61"/>
      <c r="C38" s="73" t="s">
        <v>377</v>
      </c>
      <c r="D38" s="74"/>
      <c r="E38" s="74"/>
      <c r="F38" s="74"/>
      <c r="G38" s="74"/>
      <c r="H38" s="75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0" customHeight="1">
      <c r="A39" s="71" t="s">
        <v>418</v>
      </c>
      <c r="B39" s="72"/>
      <c r="C39" s="68"/>
      <c r="D39" s="65"/>
      <c r="E39" s="65"/>
      <c r="F39" s="65"/>
      <c r="G39" s="65"/>
      <c r="H39" s="67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0" customHeight="1">
      <c r="A40" s="71" t="s">
        <v>419</v>
      </c>
      <c r="B40" s="72"/>
      <c r="C40" s="68"/>
      <c r="D40" s="65"/>
      <c r="E40" s="65"/>
      <c r="F40" s="65"/>
      <c r="G40" s="65"/>
      <c r="H40" s="67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0" customHeight="1">
      <c r="A41" s="71" t="s">
        <v>216</v>
      </c>
      <c r="B41" s="72"/>
      <c r="C41" s="85"/>
      <c r="D41" s="65"/>
      <c r="E41" s="65"/>
      <c r="F41" s="65"/>
      <c r="G41" s="65"/>
      <c r="H41" s="67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0" customHeight="1">
      <c r="A42" s="71" t="s">
        <v>420</v>
      </c>
      <c r="B42" s="72"/>
      <c r="C42" s="23"/>
      <c r="D42" s="65"/>
      <c r="E42" s="65"/>
      <c r="F42" s="65"/>
      <c r="G42" s="65"/>
      <c r="H42" s="67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0" customHeight="1">
      <c r="A43" s="71" t="s">
        <v>421</v>
      </c>
      <c r="B43" s="72"/>
      <c r="C43" s="439" t="s">
        <v>384</v>
      </c>
      <c r="D43" s="440"/>
      <c r="E43" s="440"/>
      <c r="F43" s="440"/>
      <c r="G43" s="440"/>
      <c r="H43" s="488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0" customHeight="1">
      <c r="A44" s="71" t="s">
        <v>422</v>
      </c>
      <c r="B44" s="72"/>
      <c r="C44" s="71" t="s">
        <v>386</v>
      </c>
      <c r="D44" s="65"/>
      <c r="E44" s="65"/>
      <c r="F44" s="65"/>
      <c r="G44" s="65" t="s">
        <v>423</v>
      </c>
      <c r="H44" s="67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0" customHeight="1">
      <c r="A45" s="71" t="s">
        <v>385</v>
      </c>
      <c r="B45" s="72"/>
      <c r="C45" s="86"/>
      <c r="D45" s="156"/>
      <c r="E45" s="156"/>
      <c r="F45" s="156"/>
      <c r="G45" s="156" t="s">
        <v>424</v>
      </c>
      <c r="H45" s="442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0" customHeight="1">
      <c r="A46" s="71" t="s">
        <v>388</v>
      </c>
      <c r="B46" s="72"/>
      <c r="C46" s="23" t="s">
        <v>390</v>
      </c>
      <c r="D46" s="65"/>
      <c r="E46" s="65"/>
      <c r="F46" s="65"/>
      <c r="G46" s="65" t="s">
        <v>425</v>
      </c>
      <c r="H46" s="67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0" customHeight="1">
      <c r="A47" s="71"/>
      <c r="B47" s="72"/>
      <c r="C47" s="23"/>
      <c r="D47" s="65"/>
      <c r="E47" s="65"/>
      <c r="F47" s="65"/>
      <c r="G47" s="65" t="s">
        <v>426</v>
      </c>
      <c r="H47" s="67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0" customHeight="1">
      <c r="A48" s="71"/>
      <c r="B48" s="72"/>
      <c r="C48" s="23"/>
      <c r="D48" s="65"/>
      <c r="E48" s="65"/>
      <c r="F48" s="65"/>
      <c r="G48" s="65"/>
      <c r="H48" s="67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0" customHeight="1">
      <c r="A49" s="443" t="s">
        <v>393</v>
      </c>
      <c r="B49" s="89"/>
      <c r="C49" s="89"/>
      <c r="D49" s="89"/>
      <c r="E49" s="89"/>
      <c r="F49" s="89"/>
      <c r="G49" s="89"/>
      <c r="H49" s="90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489"/>
      <c r="B50" s="82"/>
      <c r="C50" s="446" t="s">
        <v>427</v>
      </c>
      <c r="D50" s="83"/>
      <c r="E50" s="490"/>
      <c r="F50" s="490"/>
      <c r="G50" s="490"/>
      <c r="H50" s="491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449" t="s">
        <v>114</v>
      </c>
      <c r="B51" s="23" t="s">
        <v>115</v>
      </c>
      <c r="C51" s="85" t="s">
        <v>137</v>
      </c>
      <c r="D51" s="85"/>
      <c r="E51" s="106"/>
      <c r="F51" s="106"/>
      <c r="G51" s="106"/>
      <c r="H51" s="450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451" t="s">
        <v>117</v>
      </c>
      <c r="B52" s="85" t="s">
        <v>224</v>
      </c>
      <c r="C52" s="85" t="s">
        <v>225</v>
      </c>
      <c r="D52" s="85"/>
      <c r="E52" s="106"/>
      <c r="F52" s="106"/>
      <c r="G52" s="106"/>
      <c r="H52" s="450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451" t="s">
        <v>121</v>
      </c>
      <c r="B53" s="85" t="s">
        <v>118</v>
      </c>
      <c r="C53" s="85" t="s">
        <v>227</v>
      </c>
      <c r="D53" s="85"/>
      <c r="E53" s="106"/>
      <c r="F53" s="106"/>
      <c r="G53" s="106"/>
      <c r="H53" s="450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24.0" customHeight="1">
      <c r="A54" s="451" t="s">
        <v>194</v>
      </c>
      <c r="B54" s="85" t="s">
        <v>395</v>
      </c>
      <c r="C54" s="85" t="s">
        <v>225</v>
      </c>
      <c r="D54" s="85"/>
      <c r="E54" s="106"/>
      <c r="F54" s="106"/>
      <c r="G54" s="106"/>
      <c r="H54" s="450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452" t="s">
        <v>253</v>
      </c>
      <c r="B55" s="161" t="s">
        <v>122</v>
      </c>
      <c r="C55" s="161" t="s">
        <v>119</v>
      </c>
      <c r="D55" s="156"/>
      <c r="E55" s="156"/>
      <c r="F55" s="156"/>
      <c r="G55" s="156"/>
      <c r="H55" s="442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0" customHeight="1">
      <c r="A56" s="453"/>
      <c r="B56" s="454"/>
      <c r="C56" s="455" t="s">
        <v>428</v>
      </c>
      <c r="D56" s="85"/>
      <c r="E56" s="106"/>
      <c r="F56" s="106"/>
      <c r="G56" s="106"/>
      <c r="H56" s="450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0" customHeight="1">
      <c r="A57" s="449" t="s">
        <v>114</v>
      </c>
      <c r="B57" s="23" t="s">
        <v>115</v>
      </c>
      <c r="C57" s="85" t="s">
        <v>137</v>
      </c>
      <c r="D57" s="85"/>
      <c r="E57" s="106"/>
      <c r="F57" s="106"/>
      <c r="G57" s="106"/>
      <c r="H57" s="450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0" customHeight="1">
      <c r="A58" s="449" t="s">
        <v>117</v>
      </c>
      <c r="B58" s="85" t="s">
        <v>224</v>
      </c>
      <c r="C58" s="85" t="s">
        <v>225</v>
      </c>
      <c r="D58" s="85"/>
      <c r="E58" s="106"/>
      <c r="F58" s="106"/>
      <c r="G58" s="106"/>
      <c r="H58" s="450"/>
      <c r="I58" s="24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23.25" customHeight="1">
      <c r="A59" s="451" t="s">
        <v>117</v>
      </c>
      <c r="B59" s="85" t="s">
        <v>395</v>
      </c>
      <c r="C59" s="85" t="s">
        <v>225</v>
      </c>
      <c r="D59" s="85"/>
      <c r="E59" s="106"/>
      <c r="F59" s="106"/>
      <c r="G59" s="106"/>
      <c r="H59" s="450"/>
      <c r="I59" s="24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0" customHeight="1">
      <c r="A60" s="451" t="s">
        <v>121</v>
      </c>
      <c r="B60" s="85" t="s">
        <v>118</v>
      </c>
      <c r="C60" s="85" t="s">
        <v>225</v>
      </c>
      <c r="D60" s="85"/>
      <c r="E60" s="106"/>
      <c r="F60" s="106"/>
      <c r="G60" s="106"/>
      <c r="H60" s="450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0" customHeight="1">
      <c r="A61" s="452" t="s">
        <v>194</v>
      </c>
      <c r="B61" s="161" t="s">
        <v>122</v>
      </c>
      <c r="C61" s="161" t="s">
        <v>119</v>
      </c>
      <c r="D61" s="161"/>
      <c r="E61" s="101"/>
      <c r="F61" s="101"/>
      <c r="G61" s="101"/>
      <c r="H61" s="157"/>
      <c r="I61" s="24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404" t="s">
        <v>148</v>
      </c>
      <c r="B62" s="5"/>
      <c r="C62" s="5"/>
      <c r="D62" s="492" t="s">
        <v>149</v>
      </c>
      <c r="E62" s="5"/>
      <c r="F62" s="5"/>
      <c r="G62" s="5"/>
      <c r="H62" s="6"/>
      <c r="I62" s="24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ht="13.5" customHeight="1">
      <c r="A63" s="459" t="s">
        <v>429</v>
      </c>
      <c r="B63" s="460"/>
      <c r="C63" s="461"/>
      <c r="D63" s="118">
        <v>1.0</v>
      </c>
      <c r="E63" s="62" t="s">
        <v>151</v>
      </c>
      <c r="F63" s="62"/>
      <c r="G63" s="119"/>
      <c r="H63" s="120"/>
      <c r="I63" s="24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ht="13.5" customHeight="1">
      <c r="A64" s="116" t="s">
        <v>430</v>
      </c>
      <c r="B64" s="91"/>
      <c r="C64" s="165"/>
      <c r="D64" s="121">
        <v>0.5</v>
      </c>
      <c r="E64" s="122" t="s">
        <v>153</v>
      </c>
      <c r="F64" s="122"/>
      <c r="G64" s="123"/>
      <c r="H64" s="124"/>
      <c r="I64" s="24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3.5" customHeight="1">
      <c r="A65" s="125" t="s">
        <v>431</v>
      </c>
      <c r="B65" s="23"/>
      <c r="C65" s="72"/>
      <c r="D65" s="121">
        <v>0.0</v>
      </c>
      <c r="E65" s="122" t="s">
        <v>155</v>
      </c>
      <c r="F65" s="122"/>
      <c r="G65" s="123"/>
      <c r="H65" s="124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3.5" customHeight="1">
      <c r="A66" s="127" t="s">
        <v>432</v>
      </c>
      <c r="B66" s="23"/>
      <c r="C66" s="72"/>
      <c r="D66" s="129"/>
      <c r="E66" s="65"/>
      <c r="F66" s="65"/>
      <c r="G66" s="130"/>
      <c r="H66" s="131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3.5" customHeight="1">
      <c r="A67" s="127" t="s">
        <v>433</v>
      </c>
      <c r="B67" s="23"/>
      <c r="C67" s="72"/>
      <c r="D67" s="71"/>
      <c r="E67" s="23"/>
      <c r="F67" s="23"/>
      <c r="G67" s="23"/>
      <c r="H67" s="72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3.5" customHeight="1">
      <c r="A68" s="127" t="s">
        <v>434</v>
      </c>
      <c r="B68" s="23"/>
      <c r="C68" s="72"/>
      <c r="D68" s="23"/>
      <c r="E68" s="23"/>
      <c r="F68" s="23"/>
      <c r="G68" s="23"/>
      <c r="H68" s="72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3.5" customHeight="1">
      <c r="A69" s="127" t="s">
        <v>435</v>
      </c>
      <c r="B69" s="23"/>
      <c r="C69" s="72"/>
      <c r="D69" s="23"/>
      <c r="E69" s="23"/>
      <c r="F69" s="23"/>
      <c r="G69" s="23"/>
      <c r="H69" s="72"/>
      <c r="I69" s="24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3.5" customHeight="1">
      <c r="A70" s="127" t="s">
        <v>436</v>
      </c>
      <c r="B70" s="23"/>
      <c r="C70" s="72"/>
      <c r="D70" s="23"/>
      <c r="E70" s="23"/>
      <c r="F70" s="23"/>
      <c r="G70" s="23"/>
      <c r="H70" s="72"/>
      <c r="I70" s="24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3.5" customHeight="1">
      <c r="A71" s="132" t="s">
        <v>161</v>
      </c>
      <c r="B71" s="134" t="s">
        <v>163</v>
      </c>
      <c r="C71" s="72"/>
      <c r="D71" s="23"/>
      <c r="E71" s="23"/>
      <c r="F71" s="23"/>
      <c r="G71" s="23"/>
      <c r="H71" s="72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125" t="s">
        <v>437</v>
      </c>
      <c r="B72" s="23"/>
      <c r="C72" s="72"/>
      <c r="D72" s="23"/>
      <c r="E72" s="23"/>
      <c r="F72" s="23"/>
      <c r="G72" s="23"/>
      <c r="H72" s="72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71" t="s">
        <v>164</v>
      </c>
      <c r="B73" s="135" t="s">
        <v>165</v>
      </c>
      <c r="C73" s="462"/>
      <c r="D73" s="23"/>
      <c r="E73" s="23"/>
      <c r="F73" s="23"/>
      <c r="G73" s="23"/>
      <c r="H73" s="72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71" t="s">
        <v>166</v>
      </c>
      <c r="B74" s="135" t="s">
        <v>167</v>
      </c>
      <c r="C74" s="462"/>
      <c r="D74" s="23"/>
      <c r="E74" s="23"/>
      <c r="F74" s="23"/>
      <c r="G74" s="23"/>
      <c r="H74" s="72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71" t="s">
        <v>168</v>
      </c>
      <c r="B75" s="135" t="s">
        <v>169</v>
      </c>
      <c r="C75" s="462"/>
      <c r="D75" s="23"/>
      <c r="E75" s="23"/>
      <c r="F75" s="23"/>
      <c r="G75" s="23"/>
      <c r="H75" s="72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71" t="s">
        <v>170</v>
      </c>
      <c r="B76" s="23" t="s">
        <v>171</v>
      </c>
      <c r="C76" s="72"/>
      <c r="D76" s="23"/>
      <c r="E76" s="23"/>
      <c r="F76" s="23"/>
      <c r="G76" s="23"/>
      <c r="H76" s="72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3.5" customHeight="1">
      <c r="A77" s="86" t="s">
        <v>172</v>
      </c>
      <c r="B77" s="87" t="s">
        <v>173</v>
      </c>
      <c r="C77" s="136"/>
      <c r="D77" s="87"/>
      <c r="E77" s="87"/>
      <c r="F77" s="87"/>
      <c r="G77" s="87"/>
      <c r="H77" s="136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3.5" customHeight="1">
      <c r="A78" s="456" t="s">
        <v>174</v>
      </c>
      <c r="B78" s="28"/>
      <c r="C78" s="28"/>
      <c r="D78" s="28"/>
      <c r="E78" s="28"/>
      <c r="F78" s="28"/>
      <c r="G78" s="28"/>
      <c r="H78" s="458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3.5" customHeight="1">
      <c r="A79" s="64" t="s">
        <v>175</v>
      </c>
      <c r="B79" s="65"/>
      <c r="C79" s="65"/>
      <c r="D79" s="65"/>
      <c r="E79" s="65"/>
      <c r="F79" s="65"/>
      <c r="G79" s="65"/>
      <c r="H79" s="67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3.5" customHeight="1">
      <c r="A80" s="64" t="s">
        <v>176</v>
      </c>
      <c r="B80" s="65"/>
      <c r="C80" s="65"/>
      <c r="D80" s="65"/>
      <c r="E80" s="65"/>
      <c r="F80" s="65"/>
      <c r="G80" s="65"/>
      <c r="H80" s="67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3.5" customHeight="1">
      <c r="A81" s="64" t="s">
        <v>177</v>
      </c>
      <c r="B81" s="65"/>
      <c r="C81" s="65"/>
      <c r="D81" s="65"/>
      <c r="E81" s="65"/>
      <c r="F81" s="65"/>
      <c r="G81" s="65"/>
      <c r="H81" s="67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3.5" customHeight="1">
      <c r="A82" s="64" t="s">
        <v>438</v>
      </c>
      <c r="B82" s="65"/>
      <c r="C82" s="65"/>
      <c r="D82" s="65"/>
      <c r="E82" s="65"/>
      <c r="F82" s="65"/>
      <c r="G82" s="65"/>
      <c r="H82" s="67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60" t="s">
        <v>179</v>
      </c>
      <c r="H83" s="61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137" t="s">
        <v>180</v>
      </c>
      <c r="H84" s="61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3.5" customHeight="1">
      <c r="A85" s="138" t="s">
        <v>181</v>
      </c>
      <c r="B85" s="65"/>
      <c r="C85" s="65"/>
      <c r="D85" s="65"/>
      <c r="E85" s="65"/>
      <c r="F85" s="65"/>
      <c r="G85" s="65"/>
      <c r="H85" s="67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3.5" customHeight="1">
      <c r="A86" s="64" t="s">
        <v>182</v>
      </c>
      <c r="B86" s="65"/>
      <c r="C86" s="65"/>
      <c r="D86" s="65"/>
      <c r="E86" s="65"/>
      <c r="F86" s="65"/>
      <c r="G86" s="65"/>
      <c r="H86" s="67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26.25" customHeight="1">
      <c r="A87" s="78" t="s">
        <v>439</v>
      </c>
      <c r="B87" s="45"/>
      <c r="C87" s="45"/>
      <c r="D87" s="45"/>
      <c r="E87" s="45"/>
      <c r="F87" s="45"/>
      <c r="G87" s="45"/>
      <c r="H87" s="46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3.5" customHeight="1">
      <c r="A271" s="23"/>
      <c r="B271" s="23"/>
      <c r="C271" s="23"/>
      <c r="D271" s="23"/>
      <c r="E271" s="23"/>
      <c r="F271" s="23"/>
      <c r="G271" s="23"/>
      <c r="H271" s="23"/>
      <c r="I271" s="24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3.5" customHeight="1">
      <c r="A272" s="23"/>
      <c r="B272" s="23"/>
      <c r="C272" s="23"/>
      <c r="D272" s="23"/>
      <c r="E272" s="23"/>
      <c r="F272" s="23"/>
      <c r="G272" s="23"/>
      <c r="H272" s="23"/>
      <c r="I272" s="24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3.5" customHeight="1">
      <c r="A273" s="23"/>
      <c r="B273" s="23"/>
      <c r="C273" s="23"/>
      <c r="D273" s="23"/>
      <c r="E273" s="23"/>
      <c r="F273" s="23"/>
      <c r="G273" s="23"/>
      <c r="H273" s="23"/>
      <c r="I273" s="24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3.5" customHeight="1">
      <c r="A274" s="23"/>
      <c r="B274" s="23"/>
      <c r="C274" s="23"/>
      <c r="D274" s="23"/>
      <c r="E274" s="23"/>
      <c r="F274" s="23"/>
      <c r="G274" s="23"/>
      <c r="H274" s="23"/>
      <c r="I274" s="24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3.5" customHeight="1">
      <c r="A275" s="23"/>
      <c r="B275" s="23"/>
      <c r="C275" s="23"/>
      <c r="D275" s="23"/>
      <c r="E275" s="23"/>
      <c r="F275" s="23"/>
      <c r="G275" s="23"/>
      <c r="H275" s="23"/>
      <c r="I275" s="24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3.5" customHeight="1">
      <c r="A276" s="23"/>
      <c r="B276" s="23"/>
      <c r="C276" s="23"/>
      <c r="D276" s="23"/>
      <c r="E276" s="23"/>
      <c r="F276" s="23"/>
      <c r="G276" s="23"/>
      <c r="H276" s="23"/>
      <c r="I276" s="24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3.5" customHeight="1">
      <c r="A277" s="23"/>
      <c r="B277" s="23"/>
      <c r="C277" s="23"/>
      <c r="D277" s="23"/>
      <c r="E277" s="23"/>
      <c r="F277" s="23"/>
      <c r="G277" s="23"/>
      <c r="H277" s="23"/>
      <c r="I277" s="24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3.5" customHeight="1">
      <c r="A278" s="23"/>
      <c r="B278" s="23"/>
      <c r="C278" s="23"/>
      <c r="D278" s="23"/>
      <c r="E278" s="23"/>
      <c r="F278" s="23"/>
      <c r="G278" s="23"/>
      <c r="H278" s="23"/>
      <c r="I278" s="24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3.5" customHeight="1">
      <c r="A279" s="23"/>
      <c r="B279" s="23"/>
      <c r="C279" s="23"/>
      <c r="D279" s="23"/>
      <c r="E279" s="23"/>
      <c r="F279" s="23"/>
      <c r="G279" s="23"/>
      <c r="H279" s="23"/>
      <c r="I279" s="24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3.5" customHeight="1">
      <c r="A280" s="23"/>
      <c r="B280" s="23"/>
      <c r="C280" s="23"/>
      <c r="D280" s="23"/>
      <c r="E280" s="23"/>
      <c r="F280" s="23"/>
      <c r="G280" s="23"/>
      <c r="H280" s="23"/>
      <c r="I280" s="24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3.5" customHeight="1">
      <c r="A281" s="23"/>
      <c r="B281" s="23"/>
      <c r="C281" s="23"/>
      <c r="D281" s="23"/>
      <c r="E281" s="23"/>
      <c r="F281" s="23"/>
      <c r="G281" s="23"/>
      <c r="H281" s="23"/>
      <c r="I281" s="24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3.5" customHeight="1">
      <c r="A282" s="23"/>
      <c r="B282" s="23"/>
      <c r="C282" s="23"/>
      <c r="D282" s="23"/>
      <c r="E282" s="23"/>
      <c r="F282" s="23"/>
      <c r="G282" s="23"/>
      <c r="H282" s="23"/>
      <c r="I282" s="24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3.5" customHeight="1">
      <c r="A283" s="23"/>
      <c r="B283" s="23"/>
      <c r="C283" s="23"/>
      <c r="D283" s="23"/>
      <c r="E283" s="23"/>
      <c r="F283" s="23"/>
      <c r="G283" s="23"/>
      <c r="H283" s="23"/>
      <c r="I283" s="24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3.5" customHeight="1">
      <c r="A284" s="23"/>
      <c r="B284" s="23"/>
      <c r="C284" s="23"/>
      <c r="D284" s="23"/>
      <c r="E284" s="23"/>
      <c r="F284" s="23"/>
      <c r="G284" s="23"/>
      <c r="H284" s="23"/>
      <c r="I284" s="24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3.5" customHeight="1">
      <c r="A285" s="23"/>
      <c r="B285" s="23"/>
      <c r="C285" s="23"/>
      <c r="D285" s="23"/>
      <c r="E285" s="23"/>
      <c r="F285" s="23"/>
      <c r="G285" s="23"/>
      <c r="H285" s="23"/>
      <c r="I285" s="24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3.5" customHeight="1">
      <c r="A286" s="23"/>
      <c r="B286" s="23"/>
      <c r="C286" s="23"/>
      <c r="D286" s="23"/>
      <c r="E286" s="23"/>
      <c r="F286" s="23"/>
      <c r="G286" s="23"/>
      <c r="H286" s="23"/>
      <c r="I286" s="24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3.5" customHeight="1">
      <c r="A287" s="23"/>
      <c r="B287" s="23"/>
      <c r="C287" s="23"/>
      <c r="D287" s="23"/>
      <c r="E287" s="23"/>
      <c r="F287" s="23"/>
      <c r="G287" s="23"/>
      <c r="H287" s="23"/>
      <c r="I287" s="24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6:B7"/>
    <mergeCell ref="C6:C7"/>
    <mergeCell ref="A10:A11"/>
    <mergeCell ref="A22:A23"/>
    <mergeCell ref="A2:C2"/>
    <mergeCell ref="A3:C3"/>
    <mergeCell ref="A4:A5"/>
    <mergeCell ref="B4:B5"/>
    <mergeCell ref="C4:C5"/>
    <mergeCell ref="D4:H4"/>
    <mergeCell ref="A6:A7"/>
    <mergeCell ref="H6:H7"/>
    <mergeCell ref="D6:E7"/>
    <mergeCell ref="F6:G6"/>
    <mergeCell ref="F7:G7"/>
    <mergeCell ref="C16:H18"/>
    <mergeCell ref="C28:H30"/>
    <mergeCell ref="A31:H31"/>
    <mergeCell ref="C32:H32"/>
    <mergeCell ref="D62:H62"/>
    <mergeCell ref="A78:H78"/>
    <mergeCell ref="A83:H83"/>
    <mergeCell ref="A84:H84"/>
    <mergeCell ref="A87:H87"/>
    <mergeCell ref="A32:B32"/>
    <mergeCell ref="A33:B33"/>
    <mergeCell ref="A36:B36"/>
    <mergeCell ref="A37:B37"/>
    <mergeCell ref="A38:B38"/>
    <mergeCell ref="A49:H49"/>
    <mergeCell ref="A62:C62"/>
  </mergeCells>
  <printOptions/>
  <pageMargins bottom="0.0" footer="0.0" header="0.0" left="0.1968503937007874" right="0.0" top="0.1968503937007874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7.0"/>
    <col customWidth="1" min="3" max="3" width="34.43"/>
    <col customWidth="1" min="4" max="4" width="9.71"/>
    <col customWidth="1" min="5" max="5" width="8.71"/>
    <col customWidth="1" min="6" max="6" width="10.14"/>
    <col customWidth="1" min="7" max="7" width="9.86"/>
    <col customWidth="1" min="8" max="8" width="9.57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440</v>
      </c>
      <c r="B2" s="26"/>
      <c r="C2" s="26"/>
      <c r="D2" s="402"/>
      <c r="E2" s="402"/>
      <c r="F2" s="391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410</v>
      </c>
      <c r="B3" s="28"/>
      <c r="C3" s="28"/>
      <c r="D3" s="29" t="s">
        <v>72</v>
      </c>
      <c r="E3" s="23"/>
      <c r="F3" s="23"/>
      <c r="G3" s="23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7.75" customHeight="1">
      <c r="A5" s="32"/>
      <c r="B5" s="32"/>
      <c r="C5" s="32"/>
      <c r="D5" s="405" t="s">
        <v>76</v>
      </c>
      <c r="E5" s="405" t="s">
        <v>77</v>
      </c>
      <c r="F5" s="405" t="s">
        <v>78</v>
      </c>
      <c r="G5" s="405" t="s">
        <v>79</v>
      </c>
      <c r="H5" s="405" t="s">
        <v>80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140"/>
      <c r="B6" s="406"/>
      <c r="C6" s="141"/>
      <c r="D6" s="40" t="s">
        <v>82</v>
      </c>
      <c r="E6" s="39"/>
      <c r="F6" s="41" t="s">
        <v>83</v>
      </c>
      <c r="G6" s="26"/>
      <c r="H6" s="142" t="s">
        <v>84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2.75" customHeight="1">
      <c r="A7" s="108"/>
      <c r="C7" s="46"/>
      <c r="D7" s="47"/>
      <c r="E7" s="46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8.0" customHeight="1">
      <c r="A8" s="407" t="s">
        <v>441</v>
      </c>
      <c r="B8" s="408"/>
      <c r="C8" s="413" t="s">
        <v>442</v>
      </c>
      <c r="D8" s="52">
        <v>3350.0</v>
      </c>
      <c r="E8" s="53">
        <f t="shared" ref="E8:E14" si="1">SUM(D8)</f>
        <v>3350</v>
      </c>
      <c r="F8" s="53">
        <f t="shared" ref="F8:F14" si="2">D8-(D8*0.2)</f>
        <v>2680</v>
      </c>
      <c r="G8" s="53">
        <f t="shared" ref="G8:G14" si="3">E8-(E8*0.3)</f>
        <v>2345</v>
      </c>
      <c r="H8" s="53">
        <v>500.0</v>
      </c>
      <c r="I8" s="493"/>
      <c r="J8" s="410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8.0" customHeight="1">
      <c r="A9" s="411" t="s">
        <v>355</v>
      </c>
      <c r="B9" s="412" t="s">
        <v>356</v>
      </c>
      <c r="C9" s="413" t="s">
        <v>357</v>
      </c>
      <c r="D9" s="52">
        <v>3100.0</v>
      </c>
      <c r="E9" s="53">
        <f t="shared" si="1"/>
        <v>3100</v>
      </c>
      <c r="F9" s="53">
        <f t="shared" si="2"/>
        <v>2480</v>
      </c>
      <c r="G9" s="53">
        <f t="shared" si="3"/>
        <v>2170</v>
      </c>
      <c r="H9" s="53">
        <v>500.0</v>
      </c>
      <c r="I9" s="49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8.0" customHeight="1">
      <c r="A10" s="414" t="s">
        <v>443</v>
      </c>
      <c r="B10" s="412" t="s">
        <v>444</v>
      </c>
      <c r="C10" s="413" t="s">
        <v>360</v>
      </c>
      <c r="D10" s="52">
        <v>2850.0</v>
      </c>
      <c r="E10" s="53">
        <f t="shared" si="1"/>
        <v>2850</v>
      </c>
      <c r="F10" s="53">
        <f t="shared" si="2"/>
        <v>2280</v>
      </c>
      <c r="G10" s="53">
        <f t="shared" si="3"/>
        <v>1995</v>
      </c>
      <c r="H10" s="53">
        <v>500.0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8.0" customHeight="1">
      <c r="A11" s="415"/>
      <c r="B11" s="412"/>
      <c r="C11" s="413" t="s">
        <v>361</v>
      </c>
      <c r="D11" s="52">
        <v>3200.0</v>
      </c>
      <c r="E11" s="53">
        <f t="shared" si="1"/>
        <v>3200</v>
      </c>
      <c r="F11" s="53">
        <f t="shared" si="2"/>
        <v>2560</v>
      </c>
      <c r="G11" s="53">
        <f t="shared" si="3"/>
        <v>2240</v>
      </c>
      <c r="H11" s="53">
        <v>500.0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8.0" customHeight="1">
      <c r="A12" s="415"/>
      <c r="B12" s="412"/>
      <c r="C12" s="413" t="s">
        <v>362</v>
      </c>
      <c r="D12" s="52">
        <v>2850.0</v>
      </c>
      <c r="E12" s="53">
        <f t="shared" si="1"/>
        <v>2850</v>
      </c>
      <c r="F12" s="53">
        <f t="shared" si="2"/>
        <v>2280</v>
      </c>
      <c r="G12" s="53">
        <f t="shared" si="3"/>
        <v>1995</v>
      </c>
      <c r="H12" s="53">
        <v>500.0</v>
      </c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8.0" customHeight="1">
      <c r="A13" s="415"/>
      <c r="B13" s="412"/>
      <c r="C13" s="413" t="s">
        <v>363</v>
      </c>
      <c r="D13" s="52">
        <v>3200.0</v>
      </c>
      <c r="E13" s="53">
        <f t="shared" si="1"/>
        <v>3200</v>
      </c>
      <c r="F13" s="53">
        <f t="shared" si="2"/>
        <v>2560</v>
      </c>
      <c r="G13" s="53">
        <f t="shared" si="3"/>
        <v>2240</v>
      </c>
      <c r="H13" s="53">
        <v>500.0</v>
      </c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8.0" customHeight="1">
      <c r="A14" s="495"/>
      <c r="B14" s="496"/>
      <c r="C14" s="418" t="s">
        <v>364</v>
      </c>
      <c r="D14" s="497">
        <v>3780.0</v>
      </c>
      <c r="E14" s="53">
        <f t="shared" si="1"/>
        <v>3780</v>
      </c>
      <c r="F14" s="53">
        <f t="shared" si="2"/>
        <v>3024</v>
      </c>
      <c r="G14" s="53">
        <f t="shared" si="3"/>
        <v>2646</v>
      </c>
      <c r="H14" s="498">
        <v>500.0</v>
      </c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4.5" customHeight="1">
      <c r="A15" s="499"/>
      <c r="B15" s="500"/>
      <c r="C15" s="500"/>
      <c r="D15" s="500"/>
      <c r="E15" s="500"/>
      <c r="F15" s="500"/>
      <c r="G15" s="500"/>
      <c r="H15" s="501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8.0" customHeight="1">
      <c r="A16" s="407" t="s">
        <v>445</v>
      </c>
      <c r="B16" s="408"/>
      <c r="C16" s="413" t="s">
        <v>442</v>
      </c>
      <c r="D16" s="52">
        <v>3450.0</v>
      </c>
      <c r="E16" s="53">
        <f t="shared" ref="E16:E22" si="4">SUM(D16)</f>
        <v>3450</v>
      </c>
      <c r="F16" s="53">
        <f t="shared" ref="F16:F22" si="5">D16-(D16*0.2)</f>
        <v>2760</v>
      </c>
      <c r="G16" s="53">
        <f t="shared" ref="G16:G22" si="6">E16-(E16*0.3)</f>
        <v>2415</v>
      </c>
      <c r="H16" s="53">
        <v>500.0</v>
      </c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8.0" customHeight="1">
      <c r="A17" s="502" t="s">
        <v>355</v>
      </c>
      <c r="B17" s="412" t="s">
        <v>356</v>
      </c>
      <c r="C17" s="413" t="s">
        <v>357</v>
      </c>
      <c r="D17" s="52">
        <v>3200.0</v>
      </c>
      <c r="E17" s="53">
        <f t="shared" si="4"/>
        <v>3200</v>
      </c>
      <c r="F17" s="53">
        <f t="shared" si="5"/>
        <v>2560</v>
      </c>
      <c r="G17" s="53">
        <f t="shared" si="6"/>
        <v>2240</v>
      </c>
      <c r="H17" s="53">
        <v>500.0</v>
      </c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8.0" customHeight="1">
      <c r="A18" s="503" t="s">
        <v>446</v>
      </c>
      <c r="B18" s="412" t="s">
        <v>444</v>
      </c>
      <c r="C18" s="413" t="s">
        <v>360</v>
      </c>
      <c r="D18" s="52">
        <v>2950.0</v>
      </c>
      <c r="E18" s="53">
        <f t="shared" si="4"/>
        <v>2950</v>
      </c>
      <c r="F18" s="53">
        <f t="shared" si="5"/>
        <v>2360</v>
      </c>
      <c r="G18" s="53">
        <f t="shared" si="6"/>
        <v>2065</v>
      </c>
      <c r="H18" s="53">
        <v>500.0</v>
      </c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8.0" customHeight="1">
      <c r="A19" s="415"/>
      <c r="B19" s="412"/>
      <c r="C19" s="413" t="s">
        <v>361</v>
      </c>
      <c r="D19" s="52">
        <v>3080.0</v>
      </c>
      <c r="E19" s="53">
        <f t="shared" si="4"/>
        <v>3080</v>
      </c>
      <c r="F19" s="53">
        <f t="shared" si="5"/>
        <v>2464</v>
      </c>
      <c r="G19" s="53">
        <f t="shared" si="6"/>
        <v>2156</v>
      </c>
      <c r="H19" s="53">
        <v>500.0</v>
      </c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8.0" customHeight="1">
      <c r="A20" s="415"/>
      <c r="B20" s="412"/>
      <c r="C20" s="413" t="s">
        <v>362</v>
      </c>
      <c r="D20" s="52">
        <v>2950.0</v>
      </c>
      <c r="E20" s="53">
        <f t="shared" si="4"/>
        <v>2950</v>
      </c>
      <c r="F20" s="53">
        <f t="shared" si="5"/>
        <v>2360</v>
      </c>
      <c r="G20" s="53">
        <f t="shared" si="6"/>
        <v>2065</v>
      </c>
      <c r="H20" s="53">
        <v>500.0</v>
      </c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8.0" customHeight="1">
      <c r="A21" s="415"/>
      <c r="B21" s="412"/>
      <c r="C21" s="413" t="s">
        <v>363</v>
      </c>
      <c r="D21" s="52">
        <v>3080.0</v>
      </c>
      <c r="E21" s="53">
        <f t="shared" si="4"/>
        <v>3080</v>
      </c>
      <c r="F21" s="53">
        <f t="shared" si="5"/>
        <v>2464</v>
      </c>
      <c r="G21" s="53">
        <f t="shared" si="6"/>
        <v>2156</v>
      </c>
      <c r="H21" s="53">
        <v>500.0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8.0" customHeight="1">
      <c r="A22" s="495"/>
      <c r="B22" s="496"/>
      <c r="C22" s="418" t="s">
        <v>364</v>
      </c>
      <c r="D22" s="497">
        <v>3700.0</v>
      </c>
      <c r="E22" s="53">
        <f t="shared" si="4"/>
        <v>3700</v>
      </c>
      <c r="F22" s="53">
        <f t="shared" si="5"/>
        <v>2960</v>
      </c>
      <c r="G22" s="53">
        <f t="shared" si="6"/>
        <v>2590</v>
      </c>
      <c r="H22" s="498">
        <v>500.0</v>
      </c>
      <c r="I22" s="5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4.5" customHeight="1">
      <c r="A23" s="499"/>
      <c r="B23" s="500"/>
      <c r="C23" s="500"/>
      <c r="D23" s="500"/>
      <c r="E23" s="500"/>
      <c r="F23" s="500"/>
      <c r="G23" s="500"/>
      <c r="H23" s="501"/>
      <c r="I23" s="5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8.0" customHeight="1">
      <c r="A24" s="504" t="s">
        <v>447</v>
      </c>
      <c r="B24" s="505"/>
      <c r="C24" s="506" t="s">
        <v>442</v>
      </c>
      <c r="D24" s="507">
        <v>3780.0</v>
      </c>
      <c r="E24" s="508">
        <f t="shared" ref="E24:E30" si="7">SUM(D24)</f>
        <v>3780</v>
      </c>
      <c r="F24" s="508">
        <f t="shared" ref="F24:F30" si="8">D24-(D24*0.2)</f>
        <v>3024</v>
      </c>
      <c r="G24" s="508">
        <f t="shared" ref="G24:G30" si="9">E24-(E24*0.3)</f>
        <v>2646</v>
      </c>
      <c r="H24" s="508">
        <v>500.0</v>
      </c>
      <c r="I24" s="5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8.0" customHeight="1">
      <c r="A25" s="423" t="s">
        <v>355</v>
      </c>
      <c r="B25" s="412" t="s">
        <v>356</v>
      </c>
      <c r="C25" s="413" t="s">
        <v>357</v>
      </c>
      <c r="D25" s="52">
        <v>3550.0</v>
      </c>
      <c r="E25" s="53">
        <f t="shared" si="7"/>
        <v>3550</v>
      </c>
      <c r="F25" s="53">
        <f t="shared" si="8"/>
        <v>2840</v>
      </c>
      <c r="G25" s="53">
        <f t="shared" si="9"/>
        <v>2485</v>
      </c>
      <c r="H25" s="53">
        <v>500.0</v>
      </c>
      <c r="I25" s="5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0" customHeight="1">
      <c r="A26" s="509" t="s">
        <v>448</v>
      </c>
      <c r="B26" s="412" t="s">
        <v>444</v>
      </c>
      <c r="C26" s="413" t="s">
        <v>360</v>
      </c>
      <c r="D26" s="52">
        <v>3380.0</v>
      </c>
      <c r="E26" s="53">
        <f t="shared" si="7"/>
        <v>3380</v>
      </c>
      <c r="F26" s="53">
        <f t="shared" si="8"/>
        <v>2704</v>
      </c>
      <c r="G26" s="53">
        <f t="shared" si="9"/>
        <v>2366</v>
      </c>
      <c r="H26" s="53">
        <v>500.0</v>
      </c>
      <c r="I26" s="55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0" customHeight="1">
      <c r="A27" s="415"/>
      <c r="B27" s="412"/>
      <c r="C27" s="413" t="s">
        <v>361</v>
      </c>
      <c r="D27" s="52">
        <v>3450.0</v>
      </c>
      <c r="E27" s="53">
        <f t="shared" si="7"/>
        <v>3450</v>
      </c>
      <c r="F27" s="53">
        <f t="shared" si="8"/>
        <v>2760</v>
      </c>
      <c r="G27" s="53">
        <f t="shared" si="9"/>
        <v>2415</v>
      </c>
      <c r="H27" s="53">
        <v>500.0</v>
      </c>
      <c r="I27" s="55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0" customHeight="1">
      <c r="A28" s="415"/>
      <c r="B28" s="412"/>
      <c r="C28" s="413" t="s">
        <v>362</v>
      </c>
      <c r="D28" s="52">
        <v>3380.0</v>
      </c>
      <c r="E28" s="53">
        <f t="shared" si="7"/>
        <v>3380</v>
      </c>
      <c r="F28" s="53">
        <f t="shared" si="8"/>
        <v>2704</v>
      </c>
      <c r="G28" s="53">
        <f t="shared" si="9"/>
        <v>2366</v>
      </c>
      <c r="H28" s="53">
        <v>500.0</v>
      </c>
      <c r="I28" s="55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8.0" customHeight="1">
      <c r="A29" s="415"/>
      <c r="B29" s="412"/>
      <c r="C29" s="413" t="s">
        <v>363</v>
      </c>
      <c r="D29" s="52">
        <v>3450.0</v>
      </c>
      <c r="E29" s="53">
        <f t="shared" si="7"/>
        <v>3450</v>
      </c>
      <c r="F29" s="53">
        <f t="shared" si="8"/>
        <v>2760</v>
      </c>
      <c r="G29" s="53">
        <f t="shared" si="9"/>
        <v>2415</v>
      </c>
      <c r="H29" s="53">
        <v>500.0</v>
      </c>
      <c r="I29" s="55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8.0" customHeight="1">
      <c r="A30" s="495"/>
      <c r="B30" s="496"/>
      <c r="C30" s="418" t="s">
        <v>364</v>
      </c>
      <c r="D30" s="497">
        <v>4100.0</v>
      </c>
      <c r="E30" s="53">
        <f t="shared" si="7"/>
        <v>4100</v>
      </c>
      <c r="F30" s="53">
        <f t="shared" si="8"/>
        <v>3280</v>
      </c>
      <c r="G30" s="53">
        <f t="shared" si="9"/>
        <v>2870</v>
      </c>
      <c r="H30" s="498">
        <v>500.0</v>
      </c>
      <c r="I30" s="55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0.5" customHeight="1">
      <c r="A31" s="425"/>
      <c r="B31" s="426"/>
      <c r="C31" s="426"/>
      <c r="D31" s="426"/>
      <c r="E31" s="426"/>
      <c r="F31" s="426"/>
      <c r="G31" s="426"/>
      <c r="H31" s="427"/>
      <c r="I31" s="55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8.0" customHeight="1">
      <c r="A32" s="407" t="s">
        <v>449</v>
      </c>
      <c r="B32" s="408"/>
      <c r="C32" s="413" t="s">
        <v>442</v>
      </c>
      <c r="D32" s="52">
        <v>4280.0</v>
      </c>
      <c r="E32" s="53">
        <f t="shared" ref="E32:E38" si="10">SUM(D32)</f>
        <v>4280</v>
      </c>
      <c r="F32" s="53">
        <f t="shared" ref="F32:F38" si="11">D32-(D32*0.2)</f>
        <v>3424</v>
      </c>
      <c r="G32" s="53">
        <f t="shared" ref="G32:G38" si="12">E32-(E32*0.3)</f>
        <v>2996</v>
      </c>
      <c r="H32" s="53">
        <v>500.0</v>
      </c>
      <c r="I32" s="409"/>
      <c r="J32" s="410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8.0" customHeight="1">
      <c r="A33" s="411" t="s">
        <v>355</v>
      </c>
      <c r="B33" s="412" t="s">
        <v>369</v>
      </c>
      <c r="C33" s="413" t="s">
        <v>357</v>
      </c>
      <c r="D33" s="52">
        <v>3900.0</v>
      </c>
      <c r="E33" s="53">
        <f t="shared" si="10"/>
        <v>3900</v>
      </c>
      <c r="F33" s="53">
        <f t="shared" si="11"/>
        <v>3120</v>
      </c>
      <c r="G33" s="53">
        <f t="shared" si="12"/>
        <v>2730</v>
      </c>
      <c r="H33" s="53">
        <v>500.0</v>
      </c>
      <c r="I33" s="55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8.0" customHeight="1">
      <c r="A34" s="414" t="s">
        <v>443</v>
      </c>
      <c r="B34" s="412" t="s">
        <v>450</v>
      </c>
      <c r="C34" s="413" t="s">
        <v>360</v>
      </c>
      <c r="D34" s="52">
        <v>3550.0</v>
      </c>
      <c r="E34" s="53">
        <f t="shared" si="10"/>
        <v>3550</v>
      </c>
      <c r="F34" s="53">
        <f t="shared" si="11"/>
        <v>2840</v>
      </c>
      <c r="G34" s="53">
        <f t="shared" si="12"/>
        <v>2485</v>
      </c>
      <c r="H34" s="53">
        <v>500.0</v>
      </c>
      <c r="I34" s="55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8.0" customHeight="1">
      <c r="A35" s="415"/>
      <c r="B35" s="412"/>
      <c r="C35" s="413" t="s">
        <v>361</v>
      </c>
      <c r="D35" s="52">
        <v>3780.0</v>
      </c>
      <c r="E35" s="53">
        <f t="shared" si="10"/>
        <v>3780</v>
      </c>
      <c r="F35" s="53">
        <f t="shared" si="11"/>
        <v>3024</v>
      </c>
      <c r="G35" s="53">
        <f t="shared" si="12"/>
        <v>2646</v>
      </c>
      <c r="H35" s="53">
        <v>500.0</v>
      </c>
      <c r="I35" s="55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8.0" customHeight="1">
      <c r="A36" s="415"/>
      <c r="B36" s="412"/>
      <c r="C36" s="413" t="s">
        <v>362</v>
      </c>
      <c r="D36" s="52">
        <v>3550.0</v>
      </c>
      <c r="E36" s="53">
        <f t="shared" si="10"/>
        <v>3550</v>
      </c>
      <c r="F36" s="53">
        <f t="shared" si="11"/>
        <v>2840</v>
      </c>
      <c r="G36" s="53">
        <f t="shared" si="12"/>
        <v>2485</v>
      </c>
      <c r="H36" s="53">
        <v>500.0</v>
      </c>
      <c r="I36" s="55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8.0" customHeight="1">
      <c r="A37" s="415"/>
      <c r="B37" s="412"/>
      <c r="C37" s="413" t="s">
        <v>363</v>
      </c>
      <c r="D37" s="52">
        <v>3780.0</v>
      </c>
      <c r="E37" s="53">
        <f t="shared" si="10"/>
        <v>3780</v>
      </c>
      <c r="F37" s="53">
        <f t="shared" si="11"/>
        <v>3024</v>
      </c>
      <c r="G37" s="53">
        <f t="shared" si="12"/>
        <v>2646</v>
      </c>
      <c r="H37" s="53">
        <v>500.0</v>
      </c>
      <c r="I37" s="55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8.0" customHeight="1">
      <c r="A38" s="495"/>
      <c r="B38" s="496"/>
      <c r="C38" s="418" t="s">
        <v>364</v>
      </c>
      <c r="D38" s="497">
        <v>4480.0</v>
      </c>
      <c r="E38" s="53">
        <f t="shared" si="10"/>
        <v>4480</v>
      </c>
      <c r="F38" s="53">
        <f t="shared" si="11"/>
        <v>3584</v>
      </c>
      <c r="G38" s="53">
        <f t="shared" si="12"/>
        <v>3136</v>
      </c>
      <c r="H38" s="498">
        <v>500.0</v>
      </c>
      <c r="I38" s="55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4.5" customHeight="1">
      <c r="A39" s="499"/>
      <c r="B39" s="500"/>
      <c r="C39" s="500"/>
      <c r="D39" s="500"/>
      <c r="E39" s="500"/>
      <c r="F39" s="500"/>
      <c r="G39" s="500"/>
      <c r="H39" s="501"/>
      <c r="I39" s="55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8.0" customHeight="1">
      <c r="A40" s="407" t="s">
        <v>451</v>
      </c>
      <c r="B40" s="408"/>
      <c r="C40" s="413" t="s">
        <v>442</v>
      </c>
      <c r="D40" s="52">
        <v>4450.0</v>
      </c>
      <c r="E40" s="53">
        <f t="shared" ref="E40:E46" si="13">SUM(D40)</f>
        <v>4450</v>
      </c>
      <c r="F40" s="53">
        <f t="shared" ref="F40:F46" si="14">D40-(D40*0.2)</f>
        <v>3560</v>
      </c>
      <c r="G40" s="53">
        <f t="shared" ref="G40:G46" si="15">E40-(E40*0.3)</f>
        <v>3115</v>
      </c>
      <c r="H40" s="53">
        <v>500.0</v>
      </c>
      <c r="I40" s="55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8.0" customHeight="1">
      <c r="A41" s="502" t="s">
        <v>355</v>
      </c>
      <c r="B41" s="412" t="s">
        <v>369</v>
      </c>
      <c r="C41" s="413" t="s">
        <v>357</v>
      </c>
      <c r="D41" s="52">
        <v>4100.0</v>
      </c>
      <c r="E41" s="53">
        <f t="shared" si="13"/>
        <v>4100</v>
      </c>
      <c r="F41" s="53">
        <f t="shared" si="14"/>
        <v>3280</v>
      </c>
      <c r="G41" s="53">
        <f t="shared" si="15"/>
        <v>2870</v>
      </c>
      <c r="H41" s="53">
        <v>500.0</v>
      </c>
      <c r="I41" s="55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8.0" customHeight="1">
      <c r="A42" s="503" t="s">
        <v>446</v>
      </c>
      <c r="B42" s="412" t="s">
        <v>450</v>
      </c>
      <c r="C42" s="413" t="s">
        <v>360</v>
      </c>
      <c r="D42" s="52">
        <v>3750.0</v>
      </c>
      <c r="E42" s="53">
        <f t="shared" si="13"/>
        <v>3750</v>
      </c>
      <c r="F42" s="53">
        <f t="shared" si="14"/>
        <v>3000</v>
      </c>
      <c r="G42" s="53">
        <f t="shared" si="15"/>
        <v>2625</v>
      </c>
      <c r="H42" s="53">
        <v>500.0</v>
      </c>
      <c r="I42" s="55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8.0" customHeight="1">
      <c r="A43" s="415"/>
      <c r="B43" s="412"/>
      <c r="C43" s="413" t="s">
        <v>361</v>
      </c>
      <c r="D43" s="52">
        <v>3980.0</v>
      </c>
      <c r="E43" s="53">
        <f t="shared" si="13"/>
        <v>3980</v>
      </c>
      <c r="F43" s="53">
        <f t="shared" si="14"/>
        <v>3184</v>
      </c>
      <c r="G43" s="53">
        <f t="shared" si="15"/>
        <v>2786</v>
      </c>
      <c r="H43" s="53">
        <v>500.0</v>
      </c>
      <c r="I43" s="55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8.0" customHeight="1">
      <c r="A44" s="415"/>
      <c r="B44" s="412"/>
      <c r="C44" s="413" t="s">
        <v>362</v>
      </c>
      <c r="D44" s="52">
        <v>3750.0</v>
      </c>
      <c r="E44" s="53">
        <f t="shared" si="13"/>
        <v>3750</v>
      </c>
      <c r="F44" s="53">
        <f t="shared" si="14"/>
        <v>3000</v>
      </c>
      <c r="G44" s="53">
        <f t="shared" si="15"/>
        <v>2625</v>
      </c>
      <c r="H44" s="53">
        <v>500.0</v>
      </c>
      <c r="I44" s="55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8.0" customHeight="1">
      <c r="A45" s="415"/>
      <c r="B45" s="412"/>
      <c r="C45" s="413" t="s">
        <v>363</v>
      </c>
      <c r="D45" s="52">
        <v>3980.0</v>
      </c>
      <c r="E45" s="53">
        <f t="shared" si="13"/>
        <v>3980</v>
      </c>
      <c r="F45" s="53">
        <f t="shared" si="14"/>
        <v>3184</v>
      </c>
      <c r="G45" s="53">
        <f t="shared" si="15"/>
        <v>2786</v>
      </c>
      <c r="H45" s="53">
        <v>500.0</v>
      </c>
      <c r="I45" s="55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8.0" customHeight="1">
      <c r="A46" s="495"/>
      <c r="B46" s="496"/>
      <c r="C46" s="418" t="s">
        <v>364</v>
      </c>
      <c r="D46" s="497">
        <v>4780.0</v>
      </c>
      <c r="E46" s="53">
        <f t="shared" si="13"/>
        <v>4780</v>
      </c>
      <c r="F46" s="53">
        <f t="shared" si="14"/>
        <v>3824</v>
      </c>
      <c r="G46" s="53">
        <f t="shared" si="15"/>
        <v>3346</v>
      </c>
      <c r="H46" s="498">
        <v>500.0</v>
      </c>
      <c r="I46" s="55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4.5" customHeight="1">
      <c r="A47" s="499"/>
      <c r="B47" s="500"/>
      <c r="C47" s="500"/>
      <c r="D47" s="500"/>
      <c r="E47" s="500"/>
      <c r="F47" s="500"/>
      <c r="G47" s="500"/>
      <c r="H47" s="501"/>
      <c r="I47" s="55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8.0" customHeight="1">
      <c r="A48" s="504" t="s">
        <v>452</v>
      </c>
      <c r="B48" s="505"/>
      <c r="C48" s="506" t="s">
        <v>442</v>
      </c>
      <c r="D48" s="507">
        <v>5100.0</v>
      </c>
      <c r="E48" s="508">
        <f t="shared" ref="E48:E54" si="16">SUM(D48)</f>
        <v>5100</v>
      </c>
      <c r="F48" s="508">
        <f t="shared" ref="F48:F54" si="17">D48-(D48*0.2)</f>
        <v>4080</v>
      </c>
      <c r="G48" s="508">
        <f t="shared" ref="G48:G54" si="18">E48-(E48*0.3)</f>
        <v>3570</v>
      </c>
      <c r="H48" s="508">
        <v>500.0</v>
      </c>
      <c r="I48" s="55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8.0" customHeight="1">
      <c r="A49" s="423" t="s">
        <v>355</v>
      </c>
      <c r="B49" s="412" t="s">
        <v>369</v>
      </c>
      <c r="C49" s="413" t="s">
        <v>357</v>
      </c>
      <c r="D49" s="52">
        <v>4780.0</v>
      </c>
      <c r="E49" s="53">
        <f t="shared" si="16"/>
        <v>4780</v>
      </c>
      <c r="F49" s="53">
        <f t="shared" si="17"/>
        <v>3824</v>
      </c>
      <c r="G49" s="53">
        <f t="shared" si="18"/>
        <v>3346</v>
      </c>
      <c r="H49" s="53">
        <v>500.0</v>
      </c>
      <c r="I49" s="55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8.0" customHeight="1">
      <c r="A50" s="510" t="s">
        <v>448</v>
      </c>
      <c r="B50" s="412" t="s">
        <v>450</v>
      </c>
      <c r="C50" s="413" t="s">
        <v>360</v>
      </c>
      <c r="D50" s="52">
        <v>4580.0</v>
      </c>
      <c r="E50" s="53">
        <f t="shared" si="16"/>
        <v>4580</v>
      </c>
      <c r="F50" s="53">
        <f t="shared" si="17"/>
        <v>3664</v>
      </c>
      <c r="G50" s="53">
        <f t="shared" si="18"/>
        <v>3206</v>
      </c>
      <c r="H50" s="53">
        <v>500.0</v>
      </c>
      <c r="I50" s="55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8.0" customHeight="1">
      <c r="A51" s="511"/>
      <c r="B51" s="412"/>
      <c r="C51" s="413" t="s">
        <v>361</v>
      </c>
      <c r="D51" s="52">
        <v>4680.0</v>
      </c>
      <c r="E51" s="53">
        <f t="shared" si="16"/>
        <v>4680</v>
      </c>
      <c r="F51" s="53">
        <f t="shared" si="17"/>
        <v>3744</v>
      </c>
      <c r="G51" s="53">
        <f t="shared" si="18"/>
        <v>3276</v>
      </c>
      <c r="H51" s="53">
        <v>500.0</v>
      </c>
      <c r="I51" s="55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8.0" customHeight="1">
      <c r="A52" s="511"/>
      <c r="B52" s="412"/>
      <c r="C52" s="413" t="s">
        <v>362</v>
      </c>
      <c r="D52" s="52">
        <v>4580.0</v>
      </c>
      <c r="E52" s="53">
        <f t="shared" si="16"/>
        <v>4580</v>
      </c>
      <c r="F52" s="53">
        <f t="shared" si="17"/>
        <v>3664</v>
      </c>
      <c r="G52" s="53">
        <f t="shared" si="18"/>
        <v>3206</v>
      </c>
      <c r="H52" s="53">
        <v>500.0</v>
      </c>
      <c r="I52" s="55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8.0" customHeight="1">
      <c r="A53" s="511"/>
      <c r="B53" s="412"/>
      <c r="C53" s="413" t="s">
        <v>363</v>
      </c>
      <c r="D53" s="52">
        <v>4680.0</v>
      </c>
      <c r="E53" s="53">
        <f t="shared" si="16"/>
        <v>4680</v>
      </c>
      <c r="F53" s="53">
        <f t="shared" si="17"/>
        <v>3744</v>
      </c>
      <c r="G53" s="53">
        <f t="shared" si="18"/>
        <v>3276</v>
      </c>
      <c r="H53" s="53">
        <v>500.0</v>
      </c>
      <c r="I53" s="55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8.0" customHeight="1">
      <c r="A54" s="512"/>
      <c r="B54" s="496"/>
      <c r="C54" s="418" t="s">
        <v>364</v>
      </c>
      <c r="D54" s="513">
        <v>5580.0</v>
      </c>
      <c r="E54" s="53">
        <f t="shared" si="16"/>
        <v>5580</v>
      </c>
      <c r="F54" s="53">
        <f t="shared" si="17"/>
        <v>4464</v>
      </c>
      <c r="G54" s="53">
        <f t="shared" si="18"/>
        <v>3906</v>
      </c>
      <c r="H54" s="53">
        <v>500.0</v>
      </c>
      <c r="I54" s="55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24.0" customHeight="1">
      <c r="A55" s="432" t="s">
        <v>373</v>
      </c>
      <c r="B55" s="433"/>
      <c r="C55" s="433"/>
      <c r="D55" s="433"/>
      <c r="E55" s="433"/>
      <c r="F55" s="433"/>
      <c r="G55" s="433"/>
      <c r="H55" s="326"/>
      <c r="I55" s="434"/>
      <c r="J55" s="24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6.5" customHeight="1">
      <c r="A56" s="404" t="s">
        <v>96</v>
      </c>
      <c r="B56" s="6"/>
      <c r="C56" s="435" t="s">
        <v>97</v>
      </c>
      <c r="D56" s="5"/>
      <c r="E56" s="5"/>
      <c r="F56" s="5"/>
      <c r="G56" s="5"/>
      <c r="H56" s="6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152" t="s">
        <v>98</v>
      </c>
      <c r="B57" s="39"/>
      <c r="C57" s="62" t="s">
        <v>99</v>
      </c>
      <c r="D57" s="62"/>
      <c r="E57" s="62"/>
      <c r="F57" s="62"/>
      <c r="G57" s="62"/>
      <c r="H57" s="6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64" t="s">
        <v>191</v>
      </c>
      <c r="B58" s="66"/>
      <c r="C58" s="65" t="s">
        <v>101</v>
      </c>
      <c r="D58" s="65"/>
      <c r="E58" s="65"/>
      <c r="F58" s="65"/>
      <c r="G58" s="65"/>
      <c r="H58" s="67"/>
      <c r="I58" s="24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436" t="s">
        <v>417</v>
      </c>
      <c r="B59" s="66"/>
      <c r="C59" s="70" t="s">
        <v>375</v>
      </c>
      <c r="D59" s="65"/>
      <c r="E59" s="65"/>
      <c r="F59" s="65"/>
      <c r="G59" s="65"/>
      <c r="H59" s="67"/>
      <c r="I59" s="24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60" t="s">
        <v>376</v>
      </c>
      <c r="B60" s="61"/>
      <c r="C60" s="68" t="s">
        <v>105</v>
      </c>
      <c r="D60" s="65"/>
      <c r="E60" s="65"/>
      <c r="F60" s="65"/>
      <c r="G60" s="65"/>
      <c r="H60" s="67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69" t="s">
        <v>104</v>
      </c>
      <c r="B61" s="61"/>
      <c r="C61" s="70" t="s">
        <v>107</v>
      </c>
      <c r="D61" s="65"/>
      <c r="E61" s="65"/>
      <c r="F61" s="65"/>
      <c r="G61" s="65"/>
      <c r="H61" s="67"/>
      <c r="I61" s="24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69" t="s">
        <v>106</v>
      </c>
      <c r="B62" s="61"/>
      <c r="C62" s="437" t="s">
        <v>377</v>
      </c>
      <c r="D62" s="74"/>
      <c r="E62" s="74"/>
      <c r="F62" s="74"/>
      <c r="G62" s="74"/>
      <c r="H62" s="75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71" t="s">
        <v>453</v>
      </c>
      <c r="B63" s="72"/>
      <c r="C63" s="70"/>
      <c r="D63" s="65"/>
      <c r="E63" s="65"/>
      <c r="F63" s="65"/>
      <c r="G63" s="65"/>
      <c r="H63" s="67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438" t="s">
        <v>454</v>
      </c>
      <c r="B64" s="72"/>
      <c r="C64" s="65"/>
      <c r="D64" s="65"/>
      <c r="E64" s="65"/>
      <c r="F64" s="65"/>
      <c r="G64" s="65"/>
      <c r="H64" s="67"/>
      <c r="I64" s="24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>
      <c r="A65" s="438" t="s">
        <v>455</v>
      </c>
      <c r="B65" s="72"/>
      <c r="C65" s="65"/>
      <c r="D65" s="65"/>
      <c r="E65" s="65"/>
      <c r="F65" s="65"/>
      <c r="G65" s="65"/>
      <c r="H65" s="67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2.75" customHeight="1">
      <c r="A66" s="71" t="s">
        <v>216</v>
      </c>
      <c r="B66" s="72"/>
      <c r="C66" s="23"/>
      <c r="D66" s="65"/>
      <c r="E66" s="65"/>
      <c r="F66" s="65"/>
      <c r="G66" s="65"/>
      <c r="H66" s="67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>
      <c r="A67" s="71" t="s">
        <v>456</v>
      </c>
      <c r="B67" s="72"/>
      <c r="C67" s="23"/>
      <c r="D67" s="65"/>
      <c r="E67" s="65"/>
      <c r="F67" s="65"/>
      <c r="G67" s="65"/>
      <c r="H67" s="67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>
      <c r="A68" s="71" t="s">
        <v>457</v>
      </c>
      <c r="B68" s="72"/>
      <c r="C68" s="23"/>
      <c r="D68" s="65"/>
      <c r="E68" s="65"/>
      <c r="F68" s="65"/>
      <c r="G68" s="65"/>
      <c r="H68" s="67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2.75" customHeight="1">
      <c r="A69" s="71" t="s">
        <v>458</v>
      </c>
      <c r="B69" s="72"/>
      <c r="C69" s="439" t="s">
        <v>384</v>
      </c>
      <c r="D69" s="440"/>
      <c r="E69" s="440"/>
      <c r="F69" s="440"/>
      <c r="G69" s="440"/>
      <c r="H69" s="441"/>
      <c r="I69" s="24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2.75" customHeight="1">
      <c r="A70" s="71" t="s">
        <v>385</v>
      </c>
      <c r="B70" s="72"/>
      <c r="C70" s="71" t="s">
        <v>459</v>
      </c>
      <c r="D70" s="65"/>
      <c r="E70" s="65"/>
      <c r="F70" s="65" t="s">
        <v>460</v>
      </c>
      <c r="G70" s="65"/>
      <c r="H70" s="67"/>
      <c r="I70" s="24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2.75" customHeight="1">
      <c r="A71" s="71" t="s">
        <v>388</v>
      </c>
      <c r="B71" s="72"/>
      <c r="C71" s="86"/>
      <c r="D71" s="156"/>
      <c r="E71" s="156"/>
      <c r="F71" s="156" t="s">
        <v>461</v>
      </c>
      <c r="G71" s="156"/>
      <c r="H71" s="442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2.75" customHeight="1">
      <c r="A72" s="71"/>
      <c r="B72" s="72"/>
      <c r="C72" s="23" t="s">
        <v>462</v>
      </c>
      <c r="D72" s="65"/>
      <c r="E72" s="65"/>
      <c r="F72" s="65" t="s">
        <v>463</v>
      </c>
      <c r="G72" s="65"/>
      <c r="H72" s="67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2.75" customHeight="1">
      <c r="A73" s="71"/>
      <c r="B73" s="72"/>
      <c r="C73" s="514" t="s">
        <v>464</v>
      </c>
      <c r="D73" s="65"/>
      <c r="E73" s="65"/>
      <c r="F73" s="65" t="s">
        <v>465</v>
      </c>
      <c r="G73" s="65"/>
      <c r="H73" s="67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2.75" customHeight="1">
      <c r="A74" s="155"/>
      <c r="B74" s="136"/>
      <c r="C74" s="87"/>
      <c r="D74" s="101"/>
      <c r="E74" s="101"/>
      <c r="F74" s="101"/>
      <c r="G74" s="101"/>
      <c r="H74" s="157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0" customHeight="1">
      <c r="A75" s="443" t="s">
        <v>393</v>
      </c>
      <c r="B75" s="89"/>
      <c r="C75" s="89"/>
      <c r="D75" s="89"/>
      <c r="E75" s="89"/>
      <c r="F75" s="89"/>
      <c r="G75" s="89"/>
      <c r="H75" s="90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0" customHeight="1">
      <c r="A76" s="444"/>
      <c r="B76" s="445"/>
      <c r="C76" s="446" t="s">
        <v>466</v>
      </c>
      <c r="D76" s="447"/>
      <c r="E76" s="445"/>
      <c r="F76" s="445"/>
      <c r="G76" s="447"/>
      <c r="H76" s="448"/>
      <c r="I76" s="2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0" customHeight="1">
      <c r="A77" s="449" t="s">
        <v>114</v>
      </c>
      <c r="B77" s="23" t="s">
        <v>115</v>
      </c>
      <c r="C77" s="85" t="s">
        <v>137</v>
      </c>
      <c r="D77" s="85"/>
      <c r="E77" s="106"/>
      <c r="F77" s="106"/>
      <c r="G77" s="106"/>
      <c r="H77" s="450"/>
      <c r="I77" s="24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0" customHeight="1">
      <c r="A78" s="451" t="s">
        <v>117</v>
      </c>
      <c r="B78" s="85" t="s">
        <v>224</v>
      </c>
      <c r="C78" s="85" t="s">
        <v>225</v>
      </c>
      <c r="D78" s="85"/>
      <c r="E78" s="106"/>
      <c r="F78" s="106"/>
      <c r="G78" s="106"/>
      <c r="H78" s="450"/>
      <c r="I78" s="24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0" customHeight="1">
      <c r="A79" s="451" t="s">
        <v>121</v>
      </c>
      <c r="B79" s="85" t="s">
        <v>467</v>
      </c>
      <c r="C79" s="85" t="s">
        <v>225</v>
      </c>
      <c r="D79" s="85"/>
      <c r="E79" s="106"/>
      <c r="F79" s="106"/>
      <c r="G79" s="106"/>
      <c r="H79" s="450"/>
      <c r="I79" s="24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0" customHeight="1">
      <c r="A80" s="451" t="s">
        <v>194</v>
      </c>
      <c r="B80" s="85" t="s">
        <v>122</v>
      </c>
      <c r="C80" s="85" t="s">
        <v>119</v>
      </c>
      <c r="D80" s="85"/>
      <c r="E80" s="106"/>
      <c r="F80" s="106"/>
      <c r="G80" s="106"/>
      <c r="H80" s="450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6.75" customHeight="1">
      <c r="A81" s="452"/>
      <c r="B81" s="161"/>
      <c r="C81" s="161"/>
      <c r="D81" s="161"/>
      <c r="E81" s="101"/>
      <c r="F81" s="101"/>
      <c r="G81" s="101"/>
      <c r="H81" s="157"/>
      <c r="I81" s="2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0" customHeight="1">
      <c r="A82" s="453"/>
      <c r="B82" s="454"/>
      <c r="C82" s="455" t="s">
        <v>468</v>
      </c>
      <c r="D82" s="85"/>
      <c r="E82" s="106"/>
      <c r="F82" s="106"/>
      <c r="G82" s="106"/>
      <c r="H82" s="450"/>
      <c r="I82" s="2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0" customHeight="1">
      <c r="A83" s="449" t="s">
        <v>114</v>
      </c>
      <c r="B83" s="23" t="s">
        <v>397</v>
      </c>
      <c r="C83" s="85" t="s">
        <v>137</v>
      </c>
      <c r="D83" s="85"/>
      <c r="E83" s="106"/>
      <c r="F83" s="106"/>
      <c r="G83" s="106"/>
      <c r="H83" s="450"/>
      <c r="I83" s="2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0" customHeight="1">
      <c r="A84" s="451" t="s">
        <v>117</v>
      </c>
      <c r="B84" s="85" t="s">
        <v>467</v>
      </c>
      <c r="C84" s="85" t="s">
        <v>225</v>
      </c>
      <c r="D84" s="85"/>
      <c r="E84" s="106"/>
      <c r="F84" s="106"/>
      <c r="G84" s="106"/>
      <c r="H84" s="450"/>
      <c r="I84" s="2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0" customHeight="1">
      <c r="A85" s="451" t="s">
        <v>121</v>
      </c>
      <c r="B85" s="85" t="s">
        <v>118</v>
      </c>
      <c r="C85" s="85" t="s">
        <v>225</v>
      </c>
      <c r="D85" s="85"/>
      <c r="E85" s="106"/>
      <c r="F85" s="106"/>
      <c r="G85" s="106"/>
      <c r="H85" s="450"/>
      <c r="I85" s="2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0" customHeight="1">
      <c r="A86" s="452" t="s">
        <v>194</v>
      </c>
      <c r="B86" s="161" t="s">
        <v>122</v>
      </c>
      <c r="C86" s="161" t="s">
        <v>119</v>
      </c>
      <c r="D86" s="161"/>
      <c r="E86" s="101"/>
      <c r="F86" s="101"/>
      <c r="G86" s="101"/>
      <c r="H86" s="157"/>
      <c r="I86" s="2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2.75" customHeight="1">
      <c r="A87" s="456" t="s">
        <v>148</v>
      </c>
      <c r="B87" s="28"/>
      <c r="C87" s="28"/>
      <c r="D87" s="457" t="s">
        <v>149</v>
      </c>
      <c r="E87" s="28"/>
      <c r="F87" s="28"/>
      <c r="G87" s="28"/>
      <c r="H87" s="458"/>
      <c r="I87" s="24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ht="13.5" customHeight="1">
      <c r="A88" s="459" t="s">
        <v>469</v>
      </c>
      <c r="B88" s="460"/>
      <c r="C88" s="461"/>
      <c r="D88" s="118">
        <v>1.0</v>
      </c>
      <c r="E88" s="62" t="s">
        <v>151</v>
      </c>
      <c r="F88" s="62"/>
      <c r="G88" s="119"/>
      <c r="H88" s="120"/>
      <c r="I88" s="24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ht="13.5" customHeight="1">
      <c r="A89" s="116" t="s">
        <v>470</v>
      </c>
      <c r="B89" s="91"/>
      <c r="C89" s="165"/>
      <c r="D89" s="121">
        <v>0.5</v>
      </c>
      <c r="E89" s="122" t="s">
        <v>153</v>
      </c>
      <c r="F89" s="122"/>
      <c r="G89" s="123"/>
      <c r="H89" s="124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125" t="s">
        <v>471</v>
      </c>
      <c r="B90" s="23"/>
      <c r="C90" s="72"/>
      <c r="D90" s="121">
        <v>0.0</v>
      </c>
      <c r="E90" s="122" t="s">
        <v>155</v>
      </c>
      <c r="F90" s="122"/>
      <c r="G90" s="123"/>
      <c r="H90" s="124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127" t="s">
        <v>472</v>
      </c>
      <c r="B91" s="23"/>
      <c r="C91" s="72"/>
      <c r="D91" s="129"/>
      <c r="E91" s="65"/>
      <c r="F91" s="65"/>
      <c r="G91" s="130"/>
      <c r="H91" s="131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127" t="s">
        <v>473</v>
      </c>
      <c r="B92" s="23"/>
      <c r="C92" s="72"/>
      <c r="D92" s="71"/>
      <c r="E92" s="23"/>
      <c r="F92" s="23"/>
      <c r="G92" s="23"/>
      <c r="H92" s="72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127" t="s">
        <v>474</v>
      </c>
      <c r="B93" s="23"/>
      <c r="C93" s="72"/>
      <c r="D93" s="23"/>
      <c r="E93" s="23"/>
      <c r="F93" s="23"/>
      <c r="G93" s="23"/>
      <c r="H93" s="72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127" t="s">
        <v>475</v>
      </c>
      <c r="B94" s="23"/>
      <c r="C94" s="72"/>
      <c r="D94" s="23"/>
      <c r="E94" s="23"/>
      <c r="F94" s="23"/>
      <c r="G94" s="23"/>
      <c r="H94" s="72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127" t="s">
        <v>476</v>
      </c>
      <c r="B95" s="23"/>
      <c r="C95" s="72"/>
      <c r="D95" s="23"/>
      <c r="E95" s="23"/>
      <c r="F95" s="23"/>
      <c r="G95" s="23"/>
      <c r="H95" s="72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132" t="s">
        <v>161</v>
      </c>
      <c r="B96" s="134" t="s">
        <v>163</v>
      </c>
      <c r="C96" s="72"/>
      <c r="D96" s="23"/>
      <c r="E96" s="23"/>
      <c r="F96" s="23"/>
      <c r="G96" s="23"/>
      <c r="H96" s="72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125" t="s">
        <v>477</v>
      </c>
      <c r="B97" s="23"/>
      <c r="C97" s="72"/>
      <c r="D97" s="23"/>
      <c r="E97" s="23"/>
      <c r="F97" s="23"/>
      <c r="G97" s="23"/>
      <c r="H97" s="72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71" t="s">
        <v>164</v>
      </c>
      <c r="B98" s="135" t="s">
        <v>165</v>
      </c>
      <c r="C98" s="462"/>
      <c r="D98" s="23"/>
      <c r="E98" s="23"/>
      <c r="F98" s="23"/>
      <c r="G98" s="23"/>
      <c r="H98" s="72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71" t="s">
        <v>166</v>
      </c>
      <c r="B99" s="135" t="s">
        <v>167</v>
      </c>
      <c r="C99" s="462"/>
      <c r="D99" s="23"/>
      <c r="E99" s="23"/>
      <c r="F99" s="23"/>
      <c r="G99" s="23"/>
      <c r="H99" s="72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71" t="s">
        <v>168</v>
      </c>
      <c r="B100" s="135" t="s">
        <v>169</v>
      </c>
      <c r="C100" s="462"/>
      <c r="D100" s="23"/>
      <c r="E100" s="23"/>
      <c r="F100" s="23"/>
      <c r="G100" s="23"/>
      <c r="H100" s="72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71" t="s">
        <v>170</v>
      </c>
      <c r="B101" s="23" t="s">
        <v>171</v>
      </c>
      <c r="C101" s="72"/>
      <c r="D101" s="23"/>
      <c r="E101" s="23"/>
      <c r="F101" s="23"/>
      <c r="G101" s="23"/>
      <c r="H101" s="72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3.5" customHeight="1">
      <c r="A102" s="86" t="s">
        <v>172</v>
      </c>
      <c r="B102" s="87" t="s">
        <v>173</v>
      </c>
      <c r="C102" s="136"/>
      <c r="D102" s="87"/>
      <c r="E102" s="87"/>
      <c r="F102" s="87"/>
      <c r="G102" s="87"/>
      <c r="H102" s="136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3.5" customHeight="1">
      <c r="A103" s="456" t="s">
        <v>174</v>
      </c>
      <c r="B103" s="28"/>
      <c r="C103" s="28"/>
      <c r="D103" s="28"/>
      <c r="E103" s="28"/>
      <c r="F103" s="28"/>
      <c r="G103" s="28"/>
      <c r="H103" s="458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3.5" customHeight="1">
      <c r="A104" s="64" t="s">
        <v>175</v>
      </c>
      <c r="B104" s="65"/>
      <c r="C104" s="65"/>
      <c r="D104" s="65"/>
      <c r="E104" s="65"/>
      <c r="F104" s="65"/>
      <c r="G104" s="65"/>
      <c r="H104" s="67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3.5" customHeight="1">
      <c r="A105" s="64" t="s">
        <v>176</v>
      </c>
      <c r="B105" s="65"/>
      <c r="C105" s="65"/>
      <c r="D105" s="65"/>
      <c r="E105" s="65"/>
      <c r="F105" s="65"/>
      <c r="G105" s="65"/>
      <c r="H105" s="67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3.5" customHeight="1">
      <c r="A106" s="64" t="s">
        <v>177</v>
      </c>
      <c r="B106" s="65"/>
      <c r="C106" s="65"/>
      <c r="D106" s="65"/>
      <c r="E106" s="65"/>
      <c r="F106" s="65"/>
      <c r="G106" s="65"/>
      <c r="H106" s="67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3.5" customHeight="1">
      <c r="A107" s="64" t="s">
        <v>478</v>
      </c>
      <c r="B107" s="65"/>
      <c r="C107" s="65"/>
      <c r="D107" s="65"/>
      <c r="E107" s="65"/>
      <c r="F107" s="65"/>
      <c r="G107" s="65"/>
      <c r="H107" s="67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60" t="s">
        <v>179</v>
      </c>
      <c r="H108" s="61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0" customHeight="1">
      <c r="A109" s="137" t="s">
        <v>180</v>
      </c>
      <c r="H109" s="61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3.5" customHeight="1">
      <c r="A110" s="138" t="s">
        <v>181</v>
      </c>
      <c r="B110" s="65"/>
      <c r="C110" s="65"/>
      <c r="D110" s="65"/>
      <c r="E110" s="65"/>
      <c r="F110" s="65"/>
      <c r="G110" s="65"/>
      <c r="H110" s="67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3.5" customHeight="1">
      <c r="A111" s="64" t="s">
        <v>182</v>
      </c>
      <c r="B111" s="65"/>
      <c r="C111" s="65"/>
      <c r="D111" s="65"/>
      <c r="E111" s="65"/>
      <c r="F111" s="65"/>
      <c r="G111" s="65"/>
      <c r="H111" s="67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26.25" customHeight="1">
      <c r="A112" s="78" t="s">
        <v>479</v>
      </c>
      <c r="B112" s="45"/>
      <c r="C112" s="45"/>
      <c r="D112" s="45"/>
      <c r="E112" s="45"/>
      <c r="F112" s="45"/>
      <c r="G112" s="45"/>
      <c r="H112" s="46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3.5" customHeight="1">
      <c r="A271" s="23"/>
      <c r="B271" s="23"/>
      <c r="C271" s="23"/>
      <c r="D271" s="23"/>
      <c r="E271" s="23"/>
      <c r="F271" s="23"/>
      <c r="G271" s="23"/>
      <c r="H271" s="23"/>
      <c r="I271" s="24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3.5" customHeight="1">
      <c r="A272" s="23"/>
      <c r="B272" s="23"/>
      <c r="C272" s="23"/>
      <c r="D272" s="23"/>
      <c r="E272" s="23"/>
      <c r="F272" s="23"/>
      <c r="G272" s="23"/>
      <c r="H272" s="23"/>
      <c r="I272" s="24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3.5" customHeight="1">
      <c r="A273" s="23"/>
      <c r="B273" s="23"/>
      <c r="C273" s="23"/>
      <c r="D273" s="23"/>
      <c r="E273" s="23"/>
      <c r="F273" s="23"/>
      <c r="G273" s="23"/>
      <c r="H273" s="23"/>
      <c r="I273" s="24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3.5" customHeight="1">
      <c r="A274" s="23"/>
      <c r="B274" s="23"/>
      <c r="C274" s="23"/>
      <c r="D274" s="23"/>
      <c r="E274" s="23"/>
      <c r="F274" s="23"/>
      <c r="G274" s="23"/>
      <c r="H274" s="23"/>
      <c r="I274" s="24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3.5" customHeight="1">
      <c r="A275" s="23"/>
      <c r="B275" s="23"/>
      <c r="C275" s="23"/>
      <c r="D275" s="23"/>
      <c r="E275" s="23"/>
      <c r="F275" s="23"/>
      <c r="G275" s="23"/>
      <c r="H275" s="23"/>
      <c r="I275" s="24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3.5" customHeight="1">
      <c r="A276" s="23"/>
      <c r="B276" s="23"/>
      <c r="C276" s="23"/>
      <c r="D276" s="23"/>
      <c r="E276" s="23"/>
      <c r="F276" s="23"/>
      <c r="G276" s="23"/>
      <c r="H276" s="23"/>
      <c r="I276" s="24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3.5" customHeight="1">
      <c r="A277" s="23"/>
      <c r="B277" s="23"/>
      <c r="C277" s="23"/>
      <c r="D277" s="23"/>
      <c r="E277" s="23"/>
      <c r="F277" s="23"/>
      <c r="G277" s="23"/>
      <c r="H277" s="23"/>
      <c r="I277" s="24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3.5" customHeight="1">
      <c r="A278" s="23"/>
      <c r="B278" s="23"/>
      <c r="C278" s="23"/>
      <c r="D278" s="23"/>
      <c r="E278" s="23"/>
      <c r="F278" s="23"/>
      <c r="G278" s="23"/>
      <c r="H278" s="23"/>
      <c r="I278" s="24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3.5" customHeight="1">
      <c r="A279" s="23"/>
      <c r="B279" s="23"/>
      <c r="C279" s="23"/>
      <c r="D279" s="23"/>
      <c r="E279" s="23"/>
      <c r="F279" s="23"/>
      <c r="G279" s="23"/>
      <c r="H279" s="23"/>
      <c r="I279" s="24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3.5" customHeight="1">
      <c r="A280" s="23"/>
      <c r="B280" s="23"/>
      <c r="C280" s="23"/>
      <c r="D280" s="23"/>
      <c r="E280" s="23"/>
      <c r="F280" s="23"/>
      <c r="G280" s="23"/>
      <c r="H280" s="23"/>
      <c r="I280" s="24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3.5" customHeight="1">
      <c r="A281" s="23"/>
      <c r="B281" s="23"/>
      <c r="C281" s="23"/>
      <c r="D281" s="23"/>
      <c r="E281" s="23"/>
      <c r="F281" s="23"/>
      <c r="G281" s="23"/>
      <c r="H281" s="23"/>
      <c r="I281" s="24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3.5" customHeight="1">
      <c r="A282" s="23"/>
      <c r="B282" s="23"/>
      <c r="C282" s="23"/>
      <c r="D282" s="23"/>
      <c r="E282" s="23"/>
      <c r="F282" s="23"/>
      <c r="G282" s="23"/>
      <c r="H282" s="23"/>
      <c r="I282" s="24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3.5" customHeight="1">
      <c r="A283" s="23"/>
      <c r="B283" s="23"/>
      <c r="C283" s="23"/>
      <c r="D283" s="23"/>
      <c r="E283" s="23"/>
      <c r="F283" s="23"/>
      <c r="G283" s="23"/>
      <c r="H283" s="23"/>
      <c r="I283" s="24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3.5" customHeight="1">
      <c r="A284" s="23"/>
      <c r="B284" s="23"/>
      <c r="C284" s="23"/>
      <c r="D284" s="23"/>
      <c r="E284" s="23"/>
      <c r="F284" s="23"/>
      <c r="G284" s="23"/>
      <c r="H284" s="23"/>
      <c r="I284" s="24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3.5" customHeight="1">
      <c r="A285" s="23"/>
      <c r="B285" s="23"/>
      <c r="C285" s="23"/>
      <c r="D285" s="23"/>
      <c r="E285" s="23"/>
      <c r="F285" s="23"/>
      <c r="G285" s="23"/>
      <c r="H285" s="23"/>
      <c r="I285" s="24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3.5" customHeight="1">
      <c r="A286" s="23"/>
      <c r="B286" s="23"/>
      <c r="C286" s="23"/>
      <c r="D286" s="23"/>
      <c r="E286" s="23"/>
      <c r="F286" s="23"/>
      <c r="G286" s="23"/>
      <c r="H286" s="23"/>
      <c r="I286" s="24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3.5" customHeight="1">
      <c r="A287" s="23"/>
      <c r="B287" s="23"/>
      <c r="C287" s="23"/>
      <c r="D287" s="23"/>
      <c r="E287" s="23"/>
      <c r="F287" s="23"/>
      <c r="G287" s="23"/>
      <c r="H287" s="23"/>
      <c r="I287" s="24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3.5" customHeight="1">
      <c r="A288" s="23"/>
      <c r="B288" s="23"/>
      <c r="C288" s="23"/>
      <c r="D288" s="23"/>
      <c r="E288" s="23"/>
      <c r="F288" s="23"/>
      <c r="G288" s="23"/>
      <c r="H288" s="23"/>
      <c r="I288" s="24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3.5" customHeight="1">
      <c r="A289" s="23"/>
      <c r="B289" s="23"/>
      <c r="C289" s="23"/>
      <c r="D289" s="23"/>
      <c r="E289" s="23"/>
      <c r="F289" s="23"/>
      <c r="G289" s="23"/>
      <c r="H289" s="23"/>
      <c r="I289" s="24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3.5" customHeight="1">
      <c r="A290" s="23"/>
      <c r="B290" s="23"/>
      <c r="C290" s="23"/>
      <c r="D290" s="23"/>
      <c r="E290" s="23"/>
      <c r="F290" s="23"/>
      <c r="G290" s="23"/>
      <c r="H290" s="23"/>
      <c r="I290" s="24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3.5" customHeight="1">
      <c r="A291" s="23"/>
      <c r="B291" s="23"/>
      <c r="C291" s="23"/>
      <c r="D291" s="23"/>
      <c r="E291" s="23"/>
      <c r="F291" s="23"/>
      <c r="G291" s="23"/>
      <c r="H291" s="23"/>
      <c r="I291" s="24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3.5" customHeight="1">
      <c r="A292" s="23"/>
      <c r="B292" s="23"/>
      <c r="C292" s="23"/>
      <c r="D292" s="23"/>
      <c r="E292" s="23"/>
      <c r="F292" s="23"/>
      <c r="G292" s="23"/>
      <c r="H292" s="23"/>
      <c r="I292" s="24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3.5" customHeight="1">
      <c r="A293" s="23"/>
      <c r="B293" s="23"/>
      <c r="C293" s="23"/>
      <c r="D293" s="23"/>
      <c r="E293" s="23"/>
      <c r="F293" s="23"/>
      <c r="G293" s="23"/>
      <c r="H293" s="23"/>
      <c r="I293" s="24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3.5" customHeight="1">
      <c r="A294" s="23"/>
      <c r="B294" s="23"/>
      <c r="C294" s="23"/>
      <c r="D294" s="23"/>
      <c r="E294" s="23"/>
      <c r="F294" s="23"/>
      <c r="G294" s="23"/>
      <c r="H294" s="23"/>
      <c r="I294" s="24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3.5" customHeight="1">
      <c r="A295" s="23"/>
      <c r="B295" s="23"/>
      <c r="C295" s="23"/>
      <c r="D295" s="23"/>
      <c r="E295" s="23"/>
      <c r="F295" s="23"/>
      <c r="G295" s="23"/>
      <c r="H295" s="23"/>
      <c r="I295" s="24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3.5" customHeight="1">
      <c r="A296" s="23"/>
      <c r="B296" s="23"/>
      <c r="C296" s="23"/>
      <c r="D296" s="23"/>
      <c r="E296" s="23"/>
      <c r="F296" s="23"/>
      <c r="G296" s="23"/>
      <c r="H296" s="23"/>
      <c r="I296" s="24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3.5" customHeight="1">
      <c r="A297" s="23"/>
      <c r="B297" s="23"/>
      <c r="C297" s="23"/>
      <c r="D297" s="23"/>
      <c r="E297" s="23"/>
      <c r="F297" s="23"/>
      <c r="G297" s="23"/>
      <c r="H297" s="23"/>
      <c r="I297" s="24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3.5" customHeight="1">
      <c r="A298" s="23"/>
      <c r="B298" s="23"/>
      <c r="C298" s="23"/>
      <c r="D298" s="23"/>
      <c r="E298" s="23"/>
      <c r="F298" s="23"/>
      <c r="G298" s="23"/>
      <c r="H298" s="23"/>
      <c r="I298" s="24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3.5" customHeight="1">
      <c r="A299" s="23"/>
      <c r="B299" s="23"/>
      <c r="C299" s="23"/>
      <c r="D299" s="23"/>
      <c r="E299" s="23"/>
      <c r="F299" s="23"/>
      <c r="G299" s="23"/>
      <c r="H299" s="23"/>
      <c r="I299" s="24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3.5" customHeight="1">
      <c r="A300" s="23"/>
      <c r="B300" s="23"/>
      <c r="C300" s="23"/>
      <c r="D300" s="23"/>
      <c r="E300" s="23"/>
      <c r="F300" s="23"/>
      <c r="G300" s="23"/>
      <c r="H300" s="23"/>
      <c r="I300" s="24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3.5" customHeight="1">
      <c r="A301" s="23"/>
      <c r="B301" s="23"/>
      <c r="C301" s="23"/>
      <c r="D301" s="23"/>
      <c r="E301" s="23"/>
      <c r="F301" s="23"/>
      <c r="G301" s="23"/>
      <c r="H301" s="23"/>
      <c r="I301" s="24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3.5" customHeight="1">
      <c r="A302" s="23"/>
      <c r="B302" s="23"/>
      <c r="C302" s="23"/>
      <c r="D302" s="23"/>
      <c r="E302" s="23"/>
      <c r="F302" s="23"/>
      <c r="G302" s="23"/>
      <c r="H302" s="23"/>
      <c r="I302" s="24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3.5" customHeight="1">
      <c r="A303" s="23"/>
      <c r="B303" s="23"/>
      <c r="C303" s="23"/>
      <c r="D303" s="23"/>
      <c r="E303" s="23"/>
      <c r="F303" s="23"/>
      <c r="G303" s="23"/>
      <c r="H303" s="23"/>
      <c r="I303" s="24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3.5" customHeight="1">
      <c r="A304" s="23"/>
      <c r="B304" s="23"/>
      <c r="C304" s="23"/>
      <c r="D304" s="23"/>
      <c r="E304" s="23"/>
      <c r="F304" s="23"/>
      <c r="G304" s="23"/>
      <c r="H304" s="23"/>
      <c r="I304" s="24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3.5" customHeight="1">
      <c r="A305" s="23"/>
      <c r="B305" s="23"/>
      <c r="C305" s="23"/>
      <c r="D305" s="23"/>
      <c r="E305" s="23"/>
      <c r="F305" s="23"/>
      <c r="G305" s="23"/>
      <c r="H305" s="23"/>
      <c r="I305" s="24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3.5" customHeight="1">
      <c r="A306" s="23"/>
      <c r="B306" s="23"/>
      <c r="C306" s="23"/>
      <c r="D306" s="23"/>
      <c r="E306" s="23"/>
      <c r="F306" s="23"/>
      <c r="G306" s="23"/>
      <c r="H306" s="23"/>
      <c r="I306" s="24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3.5" customHeight="1">
      <c r="A307" s="23"/>
      <c r="B307" s="23"/>
      <c r="C307" s="23"/>
      <c r="D307" s="23"/>
      <c r="E307" s="23"/>
      <c r="F307" s="23"/>
      <c r="G307" s="23"/>
      <c r="H307" s="23"/>
      <c r="I307" s="24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3.5" customHeight="1">
      <c r="A308" s="23"/>
      <c r="B308" s="23"/>
      <c r="C308" s="23"/>
      <c r="D308" s="23"/>
      <c r="E308" s="23"/>
      <c r="F308" s="23"/>
      <c r="G308" s="23"/>
      <c r="H308" s="23"/>
      <c r="I308" s="24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3.5" customHeight="1">
      <c r="A309" s="23"/>
      <c r="B309" s="23"/>
      <c r="C309" s="23"/>
      <c r="D309" s="23"/>
      <c r="E309" s="23"/>
      <c r="F309" s="23"/>
      <c r="G309" s="23"/>
      <c r="H309" s="23"/>
      <c r="I309" s="24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3.5" customHeight="1">
      <c r="A310" s="23"/>
      <c r="B310" s="23"/>
      <c r="C310" s="23"/>
      <c r="D310" s="23"/>
      <c r="E310" s="23"/>
      <c r="F310" s="23"/>
      <c r="G310" s="23"/>
      <c r="H310" s="23"/>
      <c r="I310" s="24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3.5" customHeight="1">
      <c r="A311" s="23"/>
      <c r="B311" s="23"/>
      <c r="C311" s="23"/>
      <c r="D311" s="23"/>
      <c r="E311" s="23"/>
      <c r="F311" s="23"/>
      <c r="G311" s="23"/>
      <c r="H311" s="23"/>
      <c r="I311" s="24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3.5" customHeight="1">
      <c r="A312" s="23"/>
      <c r="B312" s="23"/>
      <c r="C312" s="23"/>
      <c r="D312" s="23"/>
      <c r="E312" s="23"/>
      <c r="F312" s="23"/>
      <c r="G312" s="23"/>
      <c r="H312" s="23"/>
      <c r="I312" s="24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D6:E7"/>
    <mergeCell ref="F6:G6"/>
    <mergeCell ref="F7:G7"/>
    <mergeCell ref="A2:C2"/>
    <mergeCell ref="A3:C3"/>
    <mergeCell ref="A4:A5"/>
    <mergeCell ref="B4:B5"/>
    <mergeCell ref="C4:C5"/>
    <mergeCell ref="D4:H4"/>
    <mergeCell ref="A6:A7"/>
    <mergeCell ref="H6:H7"/>
    <mergeCell ref="B6:B7"/>
    <mergeCell ref="C6:C7"/>
    <mergeCell ref="A10:A14"/>
    <mergeCell ref="A18:A22"/>
    <mergeCell ref="A26:A30"/>
    <mergeCell ref="A34:A38"/>
    <mergeCell ref="A42:A46"/>
    <mergeCell ref="A62:B62"/>
    <mergeCell ref="A75:H75"/>
    <mergeCell ref="A87:C87"/>
    <mergeCell ref="D87:H87"/>
    <mergeCell ref="A103:H103"/>
    <mergeCell ref="A108:H108"/>
    <mergeCell ref="A109:H109"/>
    <mergeCell ref="A112:H112"/>
    <mergeCell ref="A50:A54"/>
    <mergeCell ref="A55:H55"/>
    <mergeCell ref="A56:B56"/>
    <mergeCell ref="C56:H56"/>
    <mergeCell ref="A57:B57"/>
    <mergeCell ref="A60:B60"/>
    <mergeCell ref="A61:B61"/>
  </mergeCells>
  <printOptions/>
  <pageMargins bottom="0.0" footer="0.0" header="0.0" left="0.1968503937007874" right="0.0" top="0.1968503937007874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7.0"/>
    <col customWidth="1" min="3" max="3" width="34.43"/>
    <col customWidth="1" min="4" max="4" width="9.71"/>
    <col customWidth="1" min="5" max="5" width="8.71"/>
    <col customWidth="1" min="6" max="6" width="10.14"/>
    <col customWidth="1" min="7" max="7" width="9.86"/>
    <col customWidth="1" min="8" max="8" width="10.0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480</v>
      </c>
      <c r="B2" s="26"/>
      <c r="C2" s="26"/>
      <c r="D2" s="402"/>
      <c r="E2" s="402"/>
      <c r="F2" s="391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410</v>
      </c>
      <c r="B3" s="28"/>
      <c r="C3" s="28"/>
      <c r="D3" s="29" t="s">
        <v>72</v>
      </c>
      <c r="E3" s="23"/>
      <c r="F3" s="23"/>
      <c r="G3" s="23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7.75" customHeight="1">
      <c r="A5" s="32"/>
      <c r="B5" s="32"/>
      <c r="C5" s="32"/>
      <c r="D5" s="405" t="s">
        <v>76</v>
      </c>
      <c r="E5" s="405" t="s">
        <v>77</v>
      </c>
      <c r="F5" s="405" t="s">
        <v>78</v>
      </c>
      <c r="G5" s="405" t="s">
        <v>79</v>
      </c>
      <c r="H5" s="405" t="s">
        <v>80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140"/>
      <c r="B6" s="406"/>
      <c r="C6" s="141"/>
      <c r="D6" s="40" t="s">
        <v>82</v>
      </c>
      <c r="E6" s="39"/>
      <c r="F6" s="41" t="s">
        <v>83</v>
      </c>
      <c r="G6" s="26"/>
      <c r="H6" s="142" t="s">
        <v>84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2.75" customHeight="1">
      <c r="A7" s="108"/>
      <c r="C7" s="46"/>
      <c r="D7" s="47"/>
      <c r="E7" s="46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8.0" customHeight="1">
      <c r="A8" s="407" t="s">
        <v>481</v>
      </c>
      <c r="B8" s="408"/>
      <c r="C8" s="413" t="s">
        <v>442</v>
      </c>
      <c r="D8" s="52">
        <v>3780.0</v>
      </c>
      <c r="E8" s="53">
        <f t="shared" ref="E8:E14" si="1">SUM(D8)</f>
        <v>3780</v>
      </c>
      <c r="F8" s="53">
        <f t="shared" ref="F8:F14" si="2">D8-(D8*0.2)</f>
        <v>3024</v>
      </c>
      <c r="G8" s="53">
        <f t="shared" ref="G8:G14" si="3">E8-(E8*0.3)</f>
        <v>2646</v>
      </c>
      <c r="H8" s="53">
        <v>500.0</v>
      </c>
      <c r="I8" s="493"/>
      <c r="J8" s="410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8.0" customHeight="1">
      <c r="A9" s="411" t="s">
        <v>355</v>
      </c>
      <c r="B9" s="412" t="s">
        <v>413</v>
      </c>
      <c r="C9" s="413" t="s">
        <v>357</v>
      </c>
      <c r="D9" s="52">
        <v>3480.0</v>
      </c>
      <c r="E9" s="53">
        <f t="shared" si="1"/>
        <v>3480</v>
      </c>
      <c r="F9" s="53">
        <f t="shared" si="2"/>
        <v>2784</v>
      </c>
      <c r="G9" s="53">
        <f t="shared" si="3"/>
        <v>2436</v>
      </c>
      <c r="H9" s="53">
        <v>500.0</v>
      </c>
      <c r="I9" s="49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8.0" customHeight="1">
      <c r="A10" s="414" t="s">
        <v>443</v>
      </c>
      <c r="B10" s="412" t="s">
        <v>444</v>
      </c>
      <c r="C10" s="413" t="s">
        <v>360</v>
      </c>
      <c r="D10" s="52">
        <v>3180.0</v>
      </c>
      <c r="E10" s="53">
        <f t="shared" si="1"/>
        <v>3180</v>
      </c>
      <c r="F10" s="53">
        <f t="shared" si="2"/>
        <v>2544</v>
      </c>
      <c r="G10" s="53">
        <f t="shared" si="3"/>
        <v>2226</v>
      </c>
      <c r="H10" s="53">
        <v>500.0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8.0" customHeight="1">
      <c r="A11" s="415"/>
      <c r="B11" s="412"/>
      <c r="C11" s="413" t="s">
        <v>361</v>
      </c>
      <c r="D11" s="52">
        <v>3380.0</v>
      </c>
      <c r="E11" s="53">
        <f t="shared" si="1"/>
        <v>3380</v>
      </c>
      <c r="F11" s="53">
        <f t="shared" si="2"/>
        <v>2704</v>
      </c>
      <c r="G11" s="53">
        <f t="shared" si="3"/>
        <v>2366</v>
      </c>
      <c r="H11" s="53">
        <v>500.0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8.0" customHeight="1">
      <c r="A12" s="415"/>
      <c r="B12" s="412"/>
      <c r="C12" s="413" t="s">
        <v>362</v>
      </c>
      <c r="D12" s="52">
        <v>3180.0</v>
      </c>
      <c r="E12" s="53">
        <f t="shared" si="1"/>
        <v>3180</v>
      </c>
      <c r="F12" s="53">
        <f t="shared" si="2"/>
        <v>2544</v>
      </c>
      <c r="G12" s="53">
        <f t="shared" si="3"/>
        <v>2226</v>
      </c>
      <c r="H12" s="53">
        <v>500.0</v>
      </c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8.0" customHeight="1">
      <c r="A13" s="415"/>
      <c r="B13" s="412"/>
      <c r="C13" s="413" t="s">
        <v>363</v>
      </c>
      <c r="D13" s="52">
        <v>3380.0</v>
      </c>
      <c r="E13" s="53">
        <f t="shared" si="1"/>
        <v>3380</v>
      </c>
      <c r="F13" s="53">
        <f t="shared" si="2"/>
        <v>2704</v>
      </c>
      <c r="G13" s="53">
        <f t="shared" si="3"/>
        <v>2366</v>
      </c>
      <c r="H13" s="53">
        <v>500.0</v>
      </c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8.0" customHeight="1">
      <c r="A14" s="495"/>
      <c r="B14" s="496"/>
      <c r="C14" s="418" t="s">
        <v>364</v>
      </c>
      <c r="D14" s="497">
        <v>3980.0</v>
      </c>
      <c r="E14" s="53">
        <f t="shared" si="1"/>
        <v>3980</v>
      </c>
      <c r="F14" s="53">
        <f t="shared" si="2"/>
        <v>3184</v>
      </c>
      <c r="G14" s="53">
        <f t="shared" si="3"/>
        <v>2786</v>
      </c>
      <c r="H14" s="498">
        <v>500.0</v>
      </c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4.5" customHeight="1">
      <c r="A15" s="499"/>
      <c r="B15" s="500"/>
      <c r="C15" s="500"/>
      <c r="D15" s="500"/>
      <c r="E15" s="500"/>
      <c r="F15" s="500"/>
      <c r="G15" s="500"/>
      <c r="H15" s="501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8.0" customHeight="1">
      <c r="A16" s="407" t="s">
        <v>482</v>
      </c>
      <c r="B16" s="408"/>
      <c r="C16" s="413" t="s">
        <v>442</v>
      </c>
      <c r="D16" s="52">
        <v>3850.0</v>
      </c>
      <c r="E16" s="53">
        <f t="shared" ref="E16:E22" si="4">SUM(D16)</f>
        <v>3850</v>
      </c>
      <c r="F16" s="53">
        <f t="shared" ref="F16:F22" si="5">D16-(D16*0.2)</f>
        <v>3080</v>
      </c>
      <c r="G16" s="53">
        <f t="shared" ref="G16:G22" si="6">E16-(E16*0.3)</f>
        <v>2695</v>
      </c>
      <c r="H16" s="53">
        <v>500.0</v>
      </c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8.0" customHeight="1">
      <c r="A17" s="502" t="s">
        <v>355</v>
      </c>
      <c r="B17" s="412" t="s">
        <v>413</v>
      </c>
      <c r="C17" s="413" t="s">
        <v>357</v>
      </c>
      <c r="D17" s="52">
        <v>3580.0</v>
      </c>
      <c r="E17" s="53">
        <f t="shared" si="4"/>
        <v>3580</v>
      </c>
      <c r="F17" s="53">
        <f t="shared" si="5"/>
        <v>2864</v>
      </c>
      <c r="G17" s="53">
        <f t="shared" si="6"/>
        <v>2506</v>
      </c>
      <c r="H17" s="53">
        <v>500.0</v>
      </c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8.0" customHeight="1">
      <c r="A18" s="503" t="s">
        <v>446</v>
      </c>
      <c r="B18" s="412" t="s">
        <v>444</v>
      </c>
      <c r="C18" s="413" t="s">
        <v>360</v>
      </c>
      <c r="D18" s="52">
        <v>3300.0</v>
      </c>
      <c r="E18" s="53">
        <f t="shared" si="4"/>
        <v>3300</v>
      </c>
      <c r="F18" s="53">
        <f t="shared" si="5"/>
        <v>2640</v>
      </c>
      <c r="G18" s="53">
        <f t="shared" si="6"/>
        <v>2310</v>
      </c>
      <c r="H18" s="53">
        <v>500.0</v>
      </c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8.0" customHeight="1">
      <c r="A19" s="415"/>
      <c r="B19" s="412"/>
      <c r="C19" s="413" t="s">
        <v>361</v>
      </c>
      <c r="D19" s="52">
        <v>3450.0</v>
      </c>
      <c r="E19" s="53">
        <f t="shared" si="4"/>
        <v>3450</v>
      </c>
      <c r="F19" s="53">
        <f t="shared" si="5"/>
        <v>2760</v>
      </c>
      <c r="G19" s="53">
        <f t="shared" si="6"/>
        <v>2415</v>
      </c>
      <c r="H19" s="53">
        <v>500.0</v>
      </c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8.0" customHeight="1">
      <c r="A20" s="415"/>
      <c r="B20" s="412"/>
      <c r="C20" s="413" t="s">
        <v>362</v>
      </c>
      <c r="D20" s="52">
        <v>3300.0</v>
      </c>
      <c r="E20" s="53">
        <f t="shared" si="4"/>
        <v>3300</v>
      </c>
      <c r="F20" s="53">
        <f t="shared" si="5"/>
        <v>2640</v>
      </c>
      <c r="G20" s="53">
        <f t="shared" si="6"/>
        <v>2310</v>
      </c>
      <c r="H20" s="53">
        <v>500.0</v>
      </c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8.0" customHeight="1">
      <c r="A21" s="415"/>
      <c r="B21" s="412"/>
      <c r="C21" s="413" t="s">
        <v>363</v>
      </c>
      <c r="D21" s="52">
        <v>3450.0</v>
      </c>
      <c r="E21" s="53">
        <f t="shared" si="4"/>
        <v>3450</v>
      </c>
      <c r="F21" s="53">
        <f t="shared" si="5"/>
        <v>2760</v>
      </c>
      <c r="G21" s="53">
        <f t="shared" si="6"/>
        <v>2415</v>
      </c>
      <c r="H21" s="53">
        <v>500.0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8.0" customHeight="1">
      <c r="A22" s="495"/>
      <c r="B22" s="496"/>
      <c r="C22" s="418" t="s">
        <v>364</v>
      </c>
      <c r="D22" s="497">
        <v>4100.0</v>
      </c>
      <c r="E22" s="53">
        <f t="shared" si="4"/>
        <v>4100</v>
      </c>
      <c r="F22" s="53">
        <f t="shared" si="5"/>
        <v>3280</v>
      </c>
      <c r="G22" s="53">
        <f t="shared" si="6"/>
        <v>2870</v>
      </c>
      <c r="H22" s="498">
        <v>500.0</v>
      </c>
      <c r="I22" s="5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4.5" customHeight="1">
      <c r="A23" s="499"/>
      <c r="B23" s="500"/>
      <c r="C23" s="500"/>
      <c r="D23" s="500"/>
      <c r="E23" s="500"/>
      <c r="F23" s="500"/>
      <c r="G23" s="500"/>
      <c r="H23" s="501"/>
      <c r="I23" s="5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8.0" customHeight="1">
      <c r="A24" s="407" t="s">
        <v>483</v>
      </c>
      <c r="B24" s="408"/>
      <c r="C24" s="413" t="s">
        <v>442</v>
      </c>
      <c r="D24" s="52">
        <v>4180.0</v>
      </c>
      <c r="E24" s="53">
        <f t="shared" ref="E24:E30" si="7">SUM(D24)</f>
        <v>4180</v>
      </c>
      <c r="F24" s="53">
        <f t="shared" ref="F24:F30" si="8">D24-(D24*0.2)</f>
        <v>3344</v>
      </c>
      <c r="G24" s="53">
        <f t="shared" ref="G24:G30" si="9">E24-(E24*0.3)</f>
        <v>2926</v>
      </c>
      <c r="H24" s="53">
        <v>500.0</v>
      </c>
      <c r="I24" s="5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8.0" customHeight="1">
      <c r="A25" s="423" t="s">
        <v>355</v>
      </c>
      <c r="B25" s="412" t="s">
        <v>413</v>
      </c>
      <c r="C25" s="413" t="s">
        <v>357</v>
      </c>
      <c r="D25" s="52">
        <v>3900.0</v>
      </c>
      <c r="E25" s="53">
        <f t="shared" si="7"/>
        <v>3900</v>
      </c>
      <c r="F25" s="53">
        <f t="shared" si="8"/>
        <v>3120</v>
      </c>
      <c r="G25" s="53">
        <f t="shared" si="9"/>
        <v>2730</v>
      </c>
      <c r="H25" s="53">
        <v>500.0</v>
      </c>
      <c r="I25" s="5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0" customHeight="1">
      <c r="A26" s="509" t="s">
        <v>448</v>
      </c>
      <c r="B26" s="412" t="s">
        <v>444</v>
      </c>
      <c r="C26" s="413" t="s">
        <v>360</v>
      </c>
      <c r="D26" s="52">
        <v>3750.0</v>
      </c>
      <c r="E26" s="53">
        <f t="shared" si="7"/>
        <v>3750</v>
      </c>
      <c r="F26" s="53">
        <f t="shared" si="8"/>
        <v>3000</v>
      </c>
      <c r="G26" s="53">
        <f t="shared" si="9"/>
        <v>2625</v>
      </c>
      <c r="H26" s="53">
        <v>500.0</v>
      </c>
      <c r="I26" s="55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0" customHeight="1">
      <c r="A27" s="415"/>
      <c r="B27" s="412"/>
      <c r="C27" s="413" t="s">
        <v>361</v>
      </c>
      <c r="D27" s="52">
        <v>3800.0</v>
      </c>
      <c r="E27" s="53">
        <f t="shared" si="7"/>
        <v>3800</v>
      </c>
      <c r="F27" s="53">
        <f t="shared" si="8"/>
        <v>3040</v>
      </c>
      <c r="G27" s="53">
        <f t="shared" si="9"/>
        <v>2660</v>
      </c>
      <c r="H27" s="53">
        <v>500.0</v>
      </c>
      <c r="I27" s="55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0" customHeight="1">
      <c r="A28" s="415"/>
      <c r="B28" s="412"/>
      <c r="C28" s="413" t="s">
        <v>362</v>
      </c>
      <c r="D28" s="52">
        <v>3750.0</v>
      </c>
      <c r="E28" s="53">
        <f t="shared" si="7"/>
        <v>3750</v>
      </c>
      <c r="F28" s="53">
        <f t="shared" si="8"/>
        <v>3000</v>
      </c>
      <c r="G28" s="53">
        <f t="shared" si="9"/>
        <v>2625</v>
      </c>
      <c r="H28" s="53">
        <v>500.0</v>
      </c>
      <c r="I28" s="55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8.0" customHeight="1">
      <c r="A29" s="415"/>
      <c r="B29" s="412"/>
      <c r="C29" s="413" t="s">
        <v>363</v>
      </c>
      <c r="D29" s="52">
        <v>3800.0</v>
      </c>
      <c r="E29" s="53">
        <f t="shared" si="7"/>
        <v>3800</v>
      </c>
      <c r="F29" s="53">
        <f t="shared" si="8"/>
        <v>3040</v>
      </c>
      <c r="G29" s="53">
        <f t="shared" si="9"/>
        <v>2660</v>
      </c>
      <c r="H29" s="53">
        <v>500.0</v>
      </c>
      <c r="I29" s="55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8.0" customHeight="1">
      <c r="A30" s="495"/>
      <c r="B30" s="496"/>
      <c r="C30" s="418" t="s">
        <v>364</v>
      </c>
      <c r="D30" s="497">
        <v>4500.0</v>
      </c>
      <c r="E30" s="53">
        <f t="shared" si="7"/>
        <v>4500</v>
      </c>
      <c r="F30" s="53">
        <f t="shared" si="8"/>
        <v>3600</v>
      </c>
      <c r="G30" s="53">
        <f t="shared" si="9"/>
        <v>3150</v>
      </c>
      <c r="H30" s="53">
        <v>500.0</v>
      </c>
      <c r="I30" s="55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0.5" customHeight="1">
      <c r="A31" s="425"/>
      <c r="B31" s="426"/>
      <c r="C31" s="426"/>
      <c r="D31" s="426"/>
      <c r="E31" s="426"/>
      <c r="F31" s="426"/>
      <c r="G31" s="426"/>
      <c r="H31" s="427"/>
      <c r="I31" s="55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8.0" customHeight="1">
      <c r="A32" s="407" t="s">
        <v>484</v>
      </c>
      <c r="B32" s="408"/>
      <c r="C32" s="413" t="s">
        <v>442</v>
      </c>
      <c r="D32" s="52">
        <v>4700.0</v>
      </c>
      <c r="E32" s="53">
        <f t="shared" ref="E32:E38" si="10">SUM(D32)</f>
        <v>4700</v>
      </c>
      <c r="F32" s="53">
        <f t="shared" ref="F32:F38" si="11">D32-(D32*0.2)</f>
        <v>3760</v>
      </c>
      <c r="G32" s="53">
        <f t="shared" ref="G32:G38" si="12">E32-(E32*0.3)</f>
        <v>3290</v>
      </c>
      <c r="H32" s="53">
        <v>500.0</v>
      </c>
      <c r="I32" s="409"/>
      <c r="J32" s="410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8.0" customHeight="1">
      <c r="A33" s="411" t="s">
        <v>355</v>
      </c>
      <c r="B33" s="412" t="s">
        <v>356</v>
      </c>
      <c r="C33" s="413" t="s">
        <v>357</v>
      </c>
      <c r="D33" s="52">
        <v>4280.0</v>
      </c>
      <c r="E33" s="53">
        <f t="shared" si="10"/>
        <v>4280</v>
      </c>
      <c r="F33" s="53">
        <f t="shared" si="11"/>
        <v>3424</v>
      </c>
      <c r="G33" s="53">
        <f t="shared" si="12"/>
        <v>2996</v>
      </c>
      <c r="H33" s="53">
        <v>500.0</v>
      </c>
      <c r="I33" s="55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8.0" customHeight="1">
      <c r="A34" s="414" t="s">
        <v>443</v>
      </c>
      <c r="B34" s="412" t="s">
        <v>450</v>
      </c>
      <c r="C34" s="413" t="s">
        <v>360</v>
      </c>
      <c r="D34" s="52">
        <v>3850.0</v>
      </c>
      <c r="E34" s="53">
        <f t="shared" si="10"/>
        <v>3850</v>
      </c>
      <c r="F34" s="53">
        <f t="shared" si="11"/>
        <v>3080</v>
      </c>
      <c r="G34" s="53">
        <f t="shared" si="12"/>
        <v>2695</v>
      </c>
      <c r="H34" s="53">
        <v>500.0</v>
      </c>
      <c r="I34" s="55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8.0" customHeight="1">
      <c r="A35" s="415"/>
      <c r="B35" s="412"/>
      <c r="C35" s="413" t="s">
        <v>361</v>
      </c>
      <c r="D35" s="52">
        <v>4100.0</v>
      </c>
      <c r="E35" s="53">
        <f t="shared" si="10"/>
        <v>4100</v>
      </c>
      <c r="F35" s="53">
        <f t="shared" si="11"/>
        <v>3280</v>
      </c>
      <c r="G35" s="53">
        <f t="shared" si="12"/>
        <v>2870</v>
      </c>
      <c r="H35" s="53">
        <v>500.0</v>
      </c>
      <c r="I35" s="55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8.0" customHeight="1">
      <c r="A36" s="415"/>
      <c r="B36" s="412"/>
      <c r="C36" s="413" t="s">
        <v>362</v>
      </c>
      <c r="D36" s="52">
        <v>3850.0</v>
      </c>
      <c r="E36" s="53">
        <f t="shared" si="10"/>
        <v>3850</v>
      </c>
      <c r="F36" s="53">
        <f t="shared" si="11"/>
        <v>3080</v>
      </c>
      <c r="G36" s="53">
        <f t="shared" si="12"/>
        <v>2695</v>
      </c>
      <c r="H36" s="53">
        <v>500.0</v>
      </c>
      <c r="I36" s="55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8.0" customHeight="1">
      <c r="A37" s="415"/>
      <c r="B37" s="412"/>
      <c r="C37" s="413" t="s">
        <v>363</v>
      </c>
      <c r="D37" s="52">
        <v>4100.0</v>
      </c>
      <c r="E37" s="53">
        <f t="shared" si="10"/>
        <v>4100</v>
      </c>
      <c r="F37" s="53">
        <f t="shared" si="11"/>
        <v>3280</v>
      </c>
      <c r="G37" s="53">
        <f t="shared" si="12"/>
        <v>2870</v>
      </c>
      <c r="H37" s="53">
        <v>500.0</v>
      </c>
      <c r="I37" s="55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8.0" customHeight="1">
      <c r="A38" s="495"/>
      <c r="B38" s="496"/>
      <c r="C38" s="418" t="s">
        <v>364</v>
      </c>
      <c r="D38" s="497">
        <v>4900.0</v>
      </c>
      <c r="E38" s="53">
        <f t="shared" si="10"/>
        <v>4900</v>
      </c>
      <c r="F38" s="53">
        <f t="shared" si="11"/>
        <v>3920</v>
      </c>
      <c r="G38" s="53">
        <f t="shared" si="12"/>
        <v>3430</v>
      </c>
      <c r="H38" s="53">
        <v>500.0</v>
      </c>
      <c r="I38" s="55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4.5" customHeight="1">
      <c r="A39" s="499"/>
      <c r="B39" s="500"/>
      <c r="C39" s="500"/>
      <c r="D39" s="500"/>
      <c r="E39" s="500"/>
      <c r="F39" s="500"/>
      <c r="G39" s="500"/>
      <c r="H39" s="501"/>
      <c r="I39" s="55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8.0" customHeight="1">
      <c r="A40" s="407" t="s">
        <v>485</v>
      </c>
      <c r="B40" s="408"/>
      <c r="C40" s="413" t="s">
        <v>442</v>
      </c>
      <c r="D40" s="52">
        <v>4880.0</v>
      </c>
      <c r="E40" s="53">
        <f t="shared" ref="E40:E46" si="13">SUM(D40)</f>
        <v>4880</v>
      </c>
      <c r="F40" s="53">
        <f t="shared" ref="F40:F46" si="14">D40-(D40*0.2)</f>
        <v>3904</v>
      </c>
      <c r="G40" s="53">
        <f t="shared" ref="G40:G46" si="15">E40-(E40*0.3)</f>
        <v>3416</v>
      </c>
      <c r="H40" s="53">
        <v>500.0</v>
      </c>
      <c r="I40" s="55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8.0" customHeight="1">
      <c r="A41" s="502" t="s">
        <v>355</v>
      </c>
      <c r="B41" s="412" t="s">
        <v>356</v>
      </c>
      <c r="C41" s="413" t="s">
        <v>357</v>
      </c>
      <c r="D41" s="52">
        <v>4480.0</v>
      </c>
      <c r="E41" s="53">
        <f t="shared" si="13"/>
        <v>4480</v>
      </c>
      <c r="F41" s="53">
        <f t="shared" si="14"/>
        <v>3584</v>
      </c>
      <c r="G41" s="53">
        <f t="shared" si="15"/>
        <v>3136</v>
      </c>
      <c r="H41" s="53">
        <v>500.0</v>
      </c>
      <c r="I41" s="55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8.0" customHeight="1">
      <c r="A42" s="503" t="s">
        <v>446</v>
      </c>
      <c r="B42" s="412" t="s">
        <v>450</v>
      </c>
      <c r="C42" s="413" t="s">
        <v>360</v>
      </c>
      <c r="D42" s="52">
        <v>4050.0</v>
      </c>
      <c r="E42" s="53">
        <f t="shared" si="13"/>
        <v>4050</v>
      </c>
      <c r="F42" s="53">
        <f t="shared" si="14"/>
        <v>3240</v>
      </c>
      <c r="G42" s="53">
        <f t="shared" si="15"/>
        <v>2835</v>
      </c>
      <c r="H42" s="53">
        <v>500.0</v>
      </c>
      <c r="I42" s="55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8.0" customHeight="1">
      <c r="A43" s="415"/>
      <c r="B43" s="412"/>
      <c r="C43" s="413" t="s">
        <v>361</v>
      </c>
      <c r="D43" s="52">
        <v>4300.0</v>
      </c>
      <c r="E43" s="53">
        <f t="shared" si="13"/>
        <v>4300</v>
      </c>
      <c r="F43" s="53">
        <f t="shared" si="14"/>
        <v>3440</v>
      </c>
      <c r="G43" s="53">
        <f t="shared" si="15"/>
        <v>3010</v>
      </c>
      <c r="H43" s="53">
        <v>500.0</v>
      </c>
      <c r="I43" s="55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8.0" customHeight="1">
      <c r="A44" s="415"/>
      <c r="B44" s="412"/>
      <c r="C44" s="413" t="s">
        <v>362</v>
      </c>
      <c r="D44" s="52">
        <v>4050.0</v>
      </c>
      <c r="E44" s="53">
        <f t="shared" si="13"/>
        <v>4050</v>
      </c>
      <c r="F44" s="53">
        <f t="shared" si="14"/>
        <v>3240</v>
      </c>
      <c r="G44" s="53">
        <f t="shared" si="15"/>
        <v>2835</v>
      </c>
      <c r="H44" s="53">
        <v>500.0</v>
      </c>
      <c r="I44" s="55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8.0" customHeight="1">
      <c r="A45" s="415"/>
      <c r="B45" s="412"/>
      <c r="C45" s="413" t="s">
        <v>363</v>
      </c>
      <c r="D45" s="52">
        <v>4300.0</v>
      </c>
      <c r="E45" s="53">
        <f t="shared" si="13"/>
        <v>4300</v>
      </c>
      <c r="F45" s="53">
        <f t="shared" si="14"/>
        <v>3440</v>
      </c>
      <c r="G45" s="53">
        <f t="shared" si="15"/>
        <v>3010</v>
      </c>
      <c r="H45" s="53">
        <v>500.0</v>
      </c>
      <c r="I45" s="55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8.0" customHeight="1">
      <c r="A46" s="495"/>
      <c r="B46" s="496"/>
      <c r="C46" s="418" t="s">
        <v>364</v>
      </c>
      <c r="D46" s="497">
        <v>5100.0</v>
      </c>
      <c r="E46" s="53">
        <f t="shared" si="13"/>
        <v>5100</v>
      </c>
      <c r="F46" s="53">
        <f t="shared" si="14"/>
        <v>4080</v>
      </c>
      <c r="G46" s="53">
        <f t="shared" si="15"/>
        <v>3570</v>
      </c>
      <c r="H46" s="53">
        <v>500.0</v>
      </c>
      <c r="I46" s="55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4.5" customHeight="1">
      <c r="A47" s="499"/>
      <c r="B47" s="500"/>
      <c r="C47" s="500"/>
      <c r="D47" s="500"/>
      <c r="E47" s="500"/>
      <c r="F47" s="500"/>
      <c r="G47" s="500"/>
      <c r="H47" s="501"/>
      <c r="I47" s="55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8.0" customHeight="1">
      <c r="A48" s="407" t="s">
        <v>486</v>
      </c>
      <c r="B48" s="408"/>
      <c r="C48" s="413" t="s">
        <v>442</v>
      </c>
      <c r="D48" s="52">
        <v>5550.0</v>
      </c>
      <c r="E48" s="53">
        <f t="shared" ref="E48:E54" si="16">SUM(D48)</f>
        <v>5550</v>
      </c>
      <c r="F48" s="53">
        <f t="shared" ref="F48:F54" si="17">D48-(D48*0.2)</f>
        <v>4440</v>
      </c>
      <c r="G48" s="53">
        <f t="shared" ref="G48:G54" si="18">E48-(E48*0.3)</f>
        <v>3885</v>
      </c>
      <c r="H48" s="53">
        <v>500.0</v>
      </c>
      <c r="I48" s="55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8.0" customHeight="1">
      <c r="A49" s="423" t="s">
        <v>355</v>
      </c>
      <c r="B49" s="412" t="s">
        <v>356</v>
      </c>
      <c r="C49" s="413" t="s">
        <v>357</v>
      </c>
      <c r="D49" s="52">
        <v>5150.0</v>
      </c>
      <c r="E49" s="53">
        <f t="shared" si="16"/>
        <v>5150</v>
      </c>
      <c r="F49" s="53">
        <f t="shared" si="17"/>
        <v>4120</v>
      </c>
      <c r="G49" s="53">
        <f t="shared" si="18"/>
        <v>3605</v>
      </c>
      <c r="H49" s="53">
        <v>500.0</v>
      </c>
      <c r="I49" s="55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8.0" customHeight="1">
      <c r="A50" s="510" t="s">
        <v>448</v>
      </c>
      <c r="B50" s="412" t="s">
        <v>450</v>
      </c>
      <c r="C50" s="413" t="s">
        <v>360</v>
      </c>
      <c r="D50" s="52">
        <v>4950.0</v>
      </c>
      <c r="E50" s="53">
        <f t="shared" si="16"/>
        <v>4950</v>
      </c>
      <c r="F50" s="53">
        <f t="shared" si="17"/>
        <v>3960</v>
      </c>
      <c r="G50" s="53">
        <f t="shared" si="18"/>
        <v>3465</v>
      </c>
      <c r="H50" s="53">
        <v>500.0</v>
      </c>
      <c r="I50" s="55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8.0" customHeight="1">
      <c r="A51" s="511"/>
      <c r="B51" s="412"/>
      <c r="C51" s="413" t="s">
        <v>361</v>
      </c>
      <c r="D51" s="52">
        <v>5050.0</v>
      </c>
      <c r="E51" s="53">
        <f t="shared" si="16"/>
        <v>5050</v>
      </c>
      <c r="F51" s="53">
        <f t="shared" si="17"/>
        <v>4040</v>
      </c>
      <c r="G51" s="53">
        <f t="shared" si="18"/>
        <v>3535</v>
      </c>
      <c r="H51" s="53">
        <v>500.0</v>
      </c>
      <c r="I51" s="55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8.0" customHeight="1">
      <c r="A52" s="511"/>
      <c r="B52" s="412"/>
      <c r="C52" s="413" t="s">
        <v>362</v>
      </c>
      <c r="D52" s="52">
        <v>4950.0</v>
      </c>
      <c r="E52" s="53">
        <f t="shared" si="16"/>
        <v>4950</v>
      </c>
      <c r="F52" s="53">
        <f t="shared" si="17"/>
        <v>3960</v>
      </c>
      <c r="G52" s="53">
        <f t="shared" si="18"/>
        <v>3465</v>
      </c>
      <c r="H52" s="53">
        <v>500.0</v>
      </c>
      <c r="I52" s="55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8.0" customHeight="1">
      <c r="A53" s="511"/>
      <c r="B53" s="412"/>
      <c r="C53" s="413" t="s">
        <v>363</v>
      </c>
      <c r="D53" s="52">
        <v>5050.0</v>
      </c>
      <c r="E53" s="53">
        <f t="shared" si="16"/>
        <v>5050</v>
      </c>
      <c r="F53" s="53">
        <f t="shared" si="17"/>
        <v>4040</v>
      </c>
      <c r="G53" s="53">
        <f t="shared" si="18"/>
        <v>3535</v>
      </c>
      <c r="H53" s="53">
        <v>500.0</v>
      </c>
      <c r="I53" s="55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8.0" customHeight="1">
      <c r="A54" s="512"/>
      <c r="B54" s="496"/>
      <c r="C54" s="418" t="s">
        <v>364</v>
      </c>
      <c r="D54" s="513">
        <v>5980.0</v>
      </c>
      <c r="E54" s="53">
        <f t="shared" si="16"/>
        <v>5980</v>
      </c>
      <c r="F54" s="53">
        <f t="shared" si="17"/>
        <v>4784</v>
      </c>
      <c r="G54" s="53">
        <f t="shared" si="18"/>
        <v>4186</v>
      </c>
      <c r="H54" s="53">
        <v>500.0</v>
      </c>
      <c r="I54" s="55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24.0" customHeight="1">
      <c r="A55" s="432" t="s">
        <v>373</v>
      </c>
      <c r="B55" s="433"/>
      <c r="C55" s="433"/>
      <c r="D55" s="433"/>
      <c r="E55" s="433"/>
      <c r="F55" s="433"/>
      <c r="G55" s="433"/>
      <c r="H55" s="326"/>
      <c r="I55" s="434"/>
      <c r="J55" s="24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6.5" customHeight="1">
      <c r="A56" s="404" t="s">
        <v>96</v>
      </c>
      <c r="B56" s="6"/>
      <c r="C56" s="435" t="s">
        <v>97</v>
      </c>
      <c r="D56" s="5"/>
      <c r="E56" s="5"/>
      <c r="F56" s="5"/>
      <c r="G56" s="5"/>
      <c r="H56" s="6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152" t="s">
        <v>98</v>
      </c>
      <c r="B57" s="39"/>
      <c r="C57" s="62" t="s">
        <v>99</v>
      </c>
      <c r="D57" s="62"/>
      <c r="E57" s="62"/>
      <c r="F57" s="62"/>
      <c r="G57" s="62"/>
      <c r="H57" s="6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64" t="s">
        <v>246</v>
      </c>
      <c r="B58" s="66"/>
      <c r="C58" s="65" t="s">
        <v>101</v>
      </c>
      <c r="D58" s="65"/>
      <c r="E58" s="65"/>
      <c r="F58" s="65"/>
      <c r="G58" s="65"/>
      <c r="H58" s="67"/>
      <c r="I58" s="24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436" t="s">
        <v>417</v>
      </c>
      <c r="B59" s="66"/>
      <c r="C59" s="70" t="s">
        <v>375</v>
      </c>
      <c r="D59" s="65"/>
      <c r="E59" s="65"/>
      <c r="F59" s="65"/>
      <c r="G59" s="65"/>
      <c r="H59" s="67"/>
      <c r="I59" s="24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60" t="s">
        <v>376</v>
      </c>
      <c r="B60" s="61"/>
      <c r="C60" s="68" t="s">
        <v>105</v>
      </c>
      <c r="D60" s="65"/>
      <c r="E60" s="65"/>
      <c r="F60" s="65"/>
      <c r="G60" s="65"/>
      <c r="H60" s="67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69" t="s">
        <v>104</v>
      </c>
      <c r="B61" s="61"/>
      <c r="C61" s="70" t="s">
        <v>107</v>
      </c>
      <c r="D61" s="65"/>
      <c r="E61" s="65"/>
      <c r="F61" s="65"/>
      <c r="G61" s="65"/>
      <c r="H61" s="67"/>
      <c r="I61" s="24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69" t="s">
        <v>106</v>
      </c>
      <c r="B62" s="61"/>
      <c r="C62" s="437" t="s">
        <v>377</v>
      </c>
      <c r="D62" s="74"/>
      <c r="E62" s="74"/>
      <c r="F62" s="74"/>
      <c r="G62" s="74"/>
      <c r="H62" s="75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71" t="s">
        <v>487</v>
      </c>
      <c r="B63" s="72"/>
      <c r="C63" s="70"/>
      <c r="D63" s="65"/>
      <c r="E63" s="65"/>
      <c r="F63" s="65"/>
      <c r="G63" s="65"/>
      <c r="H63" s="67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64" t="s">
        <v>488</v>
      </c>
      <c r="B64" s="72"/>
      <c r="C64" s="65"/>
      <c r="D64" s="65"/>
      <c r="E64" s="65"/>
      <c r="F64" s="65"/>
      <c r="G64" s="65"/>
      <c r="H64" s="67"/>
      <c r="I64" s="24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>
      <c r="A65" s="71" t="s">
        <v>216</v>
      </c>
      <c r="B65" s="72"/>
      <c r="C65" s="23"/>
      <c r="D65" s="65"/>
      <c r="E65" s="65"/>
      <c r="F65" s="65"/>
      <c r="G65" s="65"/>
      <c r="H65" s="67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2.75" customHeight="1">
      <c r="A66" s="71" t="s">
        <v>489</v>
      </c>
      <c r="B66" s="72"/>
      <c r="C66" s="23"/>
      <c r="D66" s="65"/>
      <c r="E66" s="65"/>
      <c r="F66" s="65"/>
      <c r="G66" s="65"/>
      <c r="H66" s="67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>
      <c r="A67" s="71" t="s">
        <v>490</v>
      </c>
      <c r="B67" s="72"/>
      <c r="C67" s="23"/>
      <c r="D67" s="65"/>
      <c r="E67" s="65"/>
      <c r="F67" s="65"/>
      <c r="G67" s="65"/>
      <c r="H67" s="67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>
      <c r="A68" s="71" t="s">
        <v>491</v>
      </c>
      <c r="B68" s="72"/>
      <c r="C68" s="439" t="s">
        <v>384</v>
      </c>
      <c r="D68" s="440"/>
      <c r="E68" s="440"/>
      <c r="F68" s="440"/>
      <c r="G68" s="440"/>
      <c r="H68" s="441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2.75" customHeight="1">
      <c r="A69" s="71" t="s">
        <v>385</v>
      </c>
      <c r="B69" s="72"/>
      <c r="C69" s="71" t="s">
        <v>492</v>
      </c>
      <c r="D69" s="65"/>
      <c r="E69" s="65"/>
      <c r="F69" s="65" t="s">
        <v>493</v>
      </c>
      <c r="G69" s="65"/>
      <c r="H69" s="67"/>
      <c r="I69" s="24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2.75" customHeight="1">
      <c r="A70" s="71" t="s">
        <v>388</v>
      </c>
      <c r="B70" s="72"/>
      <c r="C70" s="86"/>
      <c r="D70" s="156"/>
      <c r="E70" s="156"/>
      <c r="F70" s="156" t="s">
        <v>494</v>
      </c>
      <c r="G70" s="156"/>
      <c r="H70" s="442"/>
      <c r="I70" s="24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2.75" customHeight="1">
      <c r="A71" s="71"/>
      <c r="B71" s="72"/>
      <c r="C71" s="23" t="s">
        <v>495</v>
      </c>
      <c r="D71" s="65"/>
      <c r="E71" s="65"/>
      <c r="F71" s="65" t="s">
        <v>496</v>
      </c>
      <c r="G71" s="65"/>
      <c r="H71" s="67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2.75" customHeight="1">
      <c r="A72" s="71"/>
      <c r="B72" s="72"/>
      <c r="C72" s="514" t="s">
        <v>464</v>
      </c>
      <c r="D72" s="65"/>
      <c r="E72" s="65"/>
      <c r="F72" s="65" t="s">
        <v>497</v>
      </c>
      <c r="G72" s="65"/>
      <c r="H72" s="67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2.75" customHeight="1">
      <c r="A73" s="155"/>
      <c r="B73" s="136"/>
      <c r="C73" s="87"/>
      <c r="D73" s="101"/>
      <c r="E73" s="101"/>
      <c r="F73" s="101"/>
      <c r="G73" s="101"/>
      <c r="H73" s="157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2.0" customHeight="1">
      <c r="A74" s="443" t="s">
        <v>393</v>
      </c>
      <c r="B74" s="89"/>
      <c r="C74" s="89"/>
      <c r="D74" s="89"/>
      <c r="E74" s="89"/>
      <c r="F74" s="89"/>
      <c r="G74" s="89"/>
      <c r="H74" s="90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449" t="s">
        <v>114</v>
      </c>
      <c r="B75" s="23" t="s">
        <v>115</v>
      </c>
      <c r="C75" s="85" t="s">
        <v>137</v>
      </c>
      <c r="D75" s="85"/>
      <c r="E75" s="106"/>
      <c r="F75" s="106"/>
      <c r="G75" s="106"/>
      <c r="H75" s="450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451" t="s">
        <v>117</v>
      </c>
      <c r="B76" s="85" t="s">
        <v>224</v>
      </c>
      <c r="C76" s="85" t="s">
        <v>225</v>
      </c>
      <c r="D76" s="85"/>
      <c r="E76" s="106"/>
      <c r="F76" s="106"/>
      <c r="G76" s="106"/>
      <c r="H76" s="450"/>
      <c r="I76" s="2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451" t="s">
        <v>121</v>
      </c>
      <c r="B77" s="85" t="s">
        <v>118</v>
      </c>
      <c r="C77" s="85" t="s">
        <v>227</v>
      </c>
      <c r="D77" s="85"/>
      <c r="E77" s="106"/>
      <c r="F77" s="106"/>
      <c r="G77" s="106"/>
      <c r="H77" s="450"/>
      <c r="I77" s="24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451" t="s">
        <v>194</v>
      </c>
      <c r="B78" s="85" t="s">
        <v>118</v>
      </c>
      <c r="C78" s="85" t="s">
        <v>225</v>
      </c>
      <c r="D78" s="85"/>
      <c r="E78" s="106"/>
      <c r="F78" s="106"/>
      <c r="G78" s="106"/>
      <c r="H78" s="450"/>
      <c r="I78" s="24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451" t="s">
        <v>253</v>
      </c>
      <c r="B79" s="85" t="s">
        <v>122</v>
      </c>
      <c r="C79" s="85" t="s">
        <v>119</v>
      </c>
      <c r="D79" s="85"/>
      <c r="E79" s="106"/>
      <c r="F79" s="106"/>
      <c r="G79" s="106"/>
      <c r="H79" s="450"/>
      <c r="I79" s="24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2.75" customHeight="1">
      <c r="A80" s="456" t="s">
        <v>148</v>
      </c>
      <c r="B80" s="28"/>
      <c r="C80" s="28"/>
      <c r="D80" s="457" t="s">
        <v>149</v>
      </c>
      <c r="E80" s="28"/>
      <c r="F80" s="28"/>
      <c r="G80" s="28"/>
      <c r="H80" s="458"/>
      <c r="I80" s="24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ht="13.5" customHeight="1">
      <c r="A81" s="459" t="s">
        <v>498</v>
      </c>
      <c r="B81" s="460"/>
      <c r="C81" s="461"/>
      <c r="D81" s="118">
        <v>1.0</v>
      </c>
      <c r="E81" s="62" t="s">
        <v>151</v>
      </c>
      <c r="F81" s="62"/>
      <c r="G81" s="119"/>
      <c r="H81" s="120"/>
      <c r="I81" s="24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ht="13.5" customHeight="1">
      <c r="A82" s="116" t="s">
        <v>499</v>
      </c>
      <c r="B82" s="91"/>
      <c r="C82" s="165"/>
      <c r="D82" s="121">
        <v>0.5</v>
      </c>
      <c r="E82" s="122" t="s">
        <v>153</v>
      </c>
      <c r="F82" s="122"/>
      <c r="G82" s="123"/>
      <c r="H82" s="124"/>
      <c r="I82" s="2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125" t="s">
        <v>500</v>
      </c>
      <c r="B83" s="23"/>
      <c r="C83" s="72"/>
      <c r="D83" s="121">
        <v>0.0</v>
      </c>
      <c r="E83" s="122" t="s">
        <v>155</v>
      </c>
      <c r="F83" s="122"/>
      <c r="G83" s="123"/>
      <c r="H83" s="124"/>
      <c r="I83" s="2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127" t="s">
        <v>501</v>
      </c>
      <c r="B84" s="23"/>
      <c r="C84" s="72"/>
      <c r="D84" s="129"/>
      <c r="E84" s="65"/>
      <c r="F84" s="65"/>
      <c r="G84" s="130"/>
      <c r="H84" s="131"/>
      <c r="I84" s="2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127" t="s">
        <v>502</v>
      </c>
      <c r="B85" s="23"/>
      <c r="C85" s="72"/>
      <c r="D85" s="71"/>
      <c r="E85" s="23"/>
      <c r="F85" s="23"/>
      <c r="G85" s="23"/>
      <c r="H85" s="72"/>
      <c r="I85" s="2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127" t="s">
        <v>503</v>
      </c>
      <c r="B86" s="23"/>
      <c r="C86" s="72"/>
      <c r="D86" s="23"/>
      <c r="E86" s="23"/>
      <c r="F86" s="23"/>
      <c r="G86" s="23"/>
      <c r="H86" s="72"/>
      <c r="I86" s="2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127" t="s">
        <v>504</v>
      </c>
      <c r="B87" s="23"/>
      <c r="C87" s="72"/>
      <c r="D87" s="23"/>
      <c r="E87" s="23"/>
      <c r="F87" s="23"/>
      <c r="G87" s="23"/>
      <c r="H87" s="72"/>
      <c r="I87" s="24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127" t="s">
        <v>505</v>
      </c>
      <c r="B88" s="23"/>
      <c r="C88" s="72"/>
      <c r="D88" s="23"/>
      <c r="E88" s="23"/>
      <c r="F88" s="23"/>
      <c r="G88" s="23"/>
      <c r="H88" s="72"/>
      <c r="I88" s="2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132" t="s">
        <v>161</v>
      </c>
      <c r="B89" s="134" t="s">
        <v>163</v>
      </c>
      <c r="C89" s="72"/>
      <c r="D89" s="23"/>
      <c r="E89" s="23"/>
      <c r="F89" s="23"/>
      <c r="G89" s="23"/>
      <c r="H89" s="72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125" t="s">
        <v>506</v>
      </c>
      <c r="B90" s="23"/>
      <c r="C90" s="72"/>
      <c r="D90" s="23"/>
      <c r="E90" s="23"/>
      <c r="F90" s="23"/>
      <c r="G90" s="23"/>
      <c r="H90" s="72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71" t="s">
        <v>164</v>
      </c>
      <c r="B91" s="135" t="s">
        <v>165</v>
      </c>
      <c r="C91" s="462"/>
      <c r="D91" s="23"/>
      <c r="E91" s="23"/>
      <c r="F91" s="23"/>
      <c r="G91" s="23"/>
      <c r="H91" s="72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71" t="s">
        <v>166</v>
      </c>
      <c r="B92" s="135" t="s">
        <v>167</v>
      </c>
      <c r="C92" s="462"/>
      <c r="D92" s="23"/>
      <c r="E92" s="23"/>
      <c r="F92" s="23"/>
      <c r="G92" s="23"/>
      <c r="H92" s="72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71" t="s">
        <v>168</v>
      </c>
      <c r="B93" s="135" t="s">
        <v>169</v>
      </c>
      <c r="C93" s="462"/>
      <c r="D93" s="23"/>
      <c r="E93" s="23"/>
      <c r="F93" s="23"/>
      <c r="G93" s="23"/>
      <c r="H93" s="72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71" t="s">
        <v>170</v>
      </c>
      <c r="B94" s="23" t="s">
        <v>171</v>
      </c>
      <c r="C94" s="72"/>
      <c r="D94" s="23"/>
      <c r="E94" s="23"/>
      <c r="F94" s="23"/>
      <c r="G94" s="23"/>
      <c r="H94" s="72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3.5" customHeight="1">
      <c r="A95" s="86" t="s">
        <v>172</v>
      </c>
      <c r="B95" s="87" t="s">
        <v>173</v>
      </c>
      <c r="C95" s="136"/>
      <c r="D95" s="87"/>
      <c r="E95" s="87"/>
      <c r="F95" s="87"/>
      <c r="G95" s="87"/>
      <c r="H95" s="136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3.5" customHeight="1">
      <c r="A96" s="456" t="s">
        <v>174</v>
      </c>
      <c r="B96" s="28"/>
      <c r="C96" s="28"/>
      <c r="D96" s="28"/>
      <c r="E96" s="28"/>
      <c r="F96" s="28"/>
      <c r="G96" s="28"/>
      <c r="H96" s="458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3.5" customHeight="1">
      <c r="A97" s="64" t="s">
        <v>175</v>
      </c>
      <c r="B97" s="65"/>
      <c r="C97" s="65"/>
      <c r="D97" s="65"/>
      <c r="E97" s="65"/>
      <c r="F97" s="65"/>
      <c r="G97" s="65"/>
      <c r="H97" s="67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3.5" customHeight="1">
      <c r="A98" s="64" t="s">
        <v>176</v>
      </c>
      <c r="B98" s="65"/>
      <c r="C98" s="65"/>
      <c r="D98" s="65"/>
      <c r="E98" s="65"/>
      <c r="F98" s="65"/>
      <c r="G98" s="65"/>
      <c r="H98" s="67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3.5" customHeight="1">
      <c r="A99" s="64" t="s">
        <v>177</v>
      </c>
      <c r="B99" s="65"/>
      <c r="C99" s="65"/>
      <c r="D99" s="65"/>
      <c r="E99" s="65"/>
      <c r="F99" s="65"/>
      <c r="G99" s="65"/>
      <c r="H99" s="67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3.5" customHeight="1">
      <c r="A100" s="64" t="s">
        <v>507</v>
      </c>
      <c r="B100" s="65"/>
      <c r="C100" s="65"/>
      <c r="D100" s="65"/>
      <c r="E100" s="65"/>
      <c r="F100" s="65"/>
      <c r="G100" s="65"/>
      <c r="H100" s="67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60" t="s">
        <v>179</v>
      </c>
      <c r="H101" s="61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0" customHeight="1">
      <c r="A102" s="137" t="s">
        <v>180</v>
      </c>
      <c r="H102" s="61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3.5" customHeight="1">
      <c r="A103" s="138" t="s">
        <v>181</v>
      </c>
      <c r="B103" s="65"/>
      <c r="C103" s="65"/>
      <c r="D103" s="65"/>
      <c r="E103" s="65"/>
      <c r="F103" s="65"/>
      <c r="G103" s="65"/>
      <c r="H103" s="67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3.5" customHeight="1">
      <c r="A104" s="64" t="s">
        <v>182</v>
      </c>
      <c r="B104" s="65"/>
      <c r="C104" s="65"/>
      <c r="D104" s="65"/>
      <c r="E104" s="65"/>
      <c r="F104" s="65"/>
      <c r="G104" s="65"/>
      <c r="H104" s="67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26.25" customHeight="1">
      <c r="A105" s="78" t="s">
        <v>508</v>
      </c>
      <c r="B105" s="45"/>
      <c r="C105" s="45"/>
      <c r="D105" s="45"/>
      <c r="E105" s="45"/>
      <c r="F105" s="45"/>
      <c r="G105" s="45"/>
      <c r="H105" s="46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3.5" customHeight="1">
      <c r="A271" s="23"/>
      <c r="B271" s="23"/>
      <c r="C271" s="23"/>
      <c r="D271" s="23"/>
      <c r="E271" s="23"/>
      <c r="F271" s="23"/>
      <c r="G271" s="23"/>
      <c r="H271" s="23"/>
      <c r="I271" s="24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3.5" customHeight="1">
      <c r="A272" s="23"/>
      <c r="B272" s="23"/>
      <c r="C272" s="23"/>
      <c r="D272" s="23"/>
      <c r="E272" s="23"/>
      <c r="F272" s="23"/>
      <c r="G272" s="23"/>
      <c r="H272" s="23"/>
      <c r="I272" s="24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3.5" customHeight="1">
      <c r="A273" s="23"/>
      <c r="B273" s="23"/>
      <c r="C273" s="23"/>
      <c r="D273" s="23"/>
      <c r="E273" s="23"/>
      <c r="F273" s="23"/>
      <c r="G273" s="23"/>
      <c r="H273" s="23"/>
      <c r="I273" s="24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3.5" customHeight="1">
      <c r="A274" s="23"/>
      <c r="B274" s="23"/>
      <c r="C274" s="23"/>
      <c r="D274" s="23"/>
      <c r="E274" s="23"/>
      <c r="F274" s="23"/>
      <c r="G274" s="23"/>
      <c r="H274" s="23"/>
      <c r="I274" s="24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3.5" customHeight="1">
      <c r="A275" s="23"/>
      <c r="B275" s="23"/>
      <c r="C275" s="23"/>
      <c r="D275" s="23"/>
      <c r="E275" s="23"/>
      <c r="F275" s="23"/>
      <c r="G275" s="23"/>
      <c r="H275" s="23"/>
      <c r="I275" s="24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3.5" customHeight="1">
      <c r="A276" s="23"/>
      <c r="B276" s="23"/>
      <c r="C276" s="23"/>
      <c r="D276" s="23"/>
      <c r="E276" s="23"/>
      <c r="F276" s="23"/>
      <c r="G276" s="23"/>
      <c r="H276" s="23"/>
      <c r="I276" s="24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3.5" customHeight="1">
      <c r="A277" s="23"/>
      <c r="B277" s="23"/>
      <c r="C277" s="23"/>
      <c r="D277" s="23"/>
      <c r="E277" s="23"/>
      <c r="F277" s="23"/>
      <c r="G277" s="23"/>
      <c r="H277" s="23"/>
      <c r="I277" s="24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3.5" customHeight="1">
      <c r="A278" s="23"/>
      <c r="B278" s="23"/>
      <c r="C278" s="23"/>
      <c r="D278" s="23"/>
      <c r="E278" s="23"/>
      <c r="F278" s="23"/>
      <c r="G278" s="23"/>
      <c r="H278" s="23"/>
      <c r="I278" s="24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3.5" customHeight="1">
      <c r="A279" s="23"/>
      <c r="B279" s="23"/>
      <c r="C279" s="23"/>
      <c r="D279" s="23"/>
      <c r="E279" s="23"/>
      <c r="F279" s="23"/>
      <c r="G279" s="23"/>
      <c r="H279" s="23"/>
      <c r="I279" s="24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3.5" customHeight="1">
      <c r="A280" s="23"/>
      <c r="B280" s="23"/>
      <c r="C280" s="23"/>
      <c r="D280" s="23"/>
      <c r="E280" s="23"/>
      <c r="F280" s="23"/>
      <c r="G280" s="23"/>
      <c r="H280" s="23"/>
      <c r="I280" s="24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3.5" customHeight="1">
      <c r="A281" s="23"/>
      <c r="B281" s="23"/>
      <c r="C281" s="23"/>
      <c r="D281" s="23"/>
      <c r="E281" s="23"/>
      <c r="F281" s="23"/>
      <c r="G281" s="23"/>
      <c r="H281" s="23"/>
      <c r="I281" s="24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3.5" customHeight="1">
      <c r="A282" s="23"/>
      <c r="B282" s="23"/>
      <c r="C282" s="23"/>
      <c r="D282" s="23"/>
      <c r="E282" s="23"/>
      <c r="F282" s="23"/>
      <c r="G282" s="23"/>
      <c r="H282" s="23"/>
      <c r="I282" s="24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3.5" customHeight="1">
      <c r="A283" s="23"/>
      <c r="B283" s="23"/>
      <c r="C283" s="23"/>
      <c r="D283" s="23"/>
      <c r="E283" s="23"/>
      <c r="F283" s="23"/>
      <c r="G283" s="23"/>
      <c r="H283" s="23"/>
      <c r="I283" s="24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3.5" customHeight="1">
      <c r="A284" s="23"/>
      <c r="B284" s="23"/>
      <c r="C284" s="23"/>
      <c r="D284" s="23"/>
      <c r="E284" s="23"/>
      <c r="F284" s="23"/>
      <c r="G284" s="23"/>
      <c r="H284" s="23"/>
      <c r="I284" s="24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3.5" customHeight="1">
      <c r="A285" s="23"/>
      <c r="B285" s="23"/>
      <c r="C285" s="23"/>
      <c r="D285" s="23"/>
      <c r="E285" s="23"/>
      <c r="F285" s="23"/>
      <c r="G285" s="23"/>
      <c r="H285" s="23"/>
      <c r="I285" s="24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3.5" customHeight="1">
      <c r="A286" s="23"/>
      <c r="B286" s="23"/>
      <c r="C286" s="23"/>
      <c r="D286" s="23"/>
      <c r="E286" s="23"/>
      <c r="F286" s="23"/>
      <c r="G286" s="23"/>
      <c r="H286" s="23"/>
      <c r="I286" s="24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3.5" customHeight="1">
      <c r="A287" s="23"/>
      <c r="B287" s="23"/>
      <c r="C287" s="23"/>
      <c r="D287" s="23"/>
      <c r="E287" s="23"/>
      <c r="F287" s="23"/>
      <c r="G287" s="23"/>
      <c r="H287" s="23"/>
      <c r="I287" s="24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3.5" customHeight="1">
      <c r="A288" s="23"/>
      <c r="B288" s="23"/>
      <c r="C288" s="23"/>
      <c r="D288" s="23"/>
      <c r="E288" s="23"/>
      <c r="F288" s="23"/>
      <c r="G288" s="23"/>
      <c r="H288" s="23"/>
      <c r="I288" s="24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3.5" customHeight="1">
      <c r="A289" s="23"/>
      <c r="B289" s="23"/>
      <c r="C289" s="23"/>
      <c r="D289" s="23"/>
      <c r="E289" s="23"/>
      <c r="F289" s="23"/>
      <c r="G289" s="23"/>
      <c r="H289" s="23"/>
      <c r="I289" s="24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3.5" customHeight="1">
      <c r="A290" s="23"/>
      <c r="B290" s="23"/>
      <c r="C290" s="23"/>
      <c r="D290" s="23"/>
      <c r="E290" s="23"/>
      <c r="F290" s="23"/>
      <c r="G290" s="23"/>
      <c r="H290" s="23"/>
      <c r="I290" s="24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3.5" customHeight="1">
      <c r="A291" s="23"/>
      <c r="B291" s="23"/>
      <c r="C291" s="23"/>
      <c r="D291" s="23"/>
      <c r="E291" s="23"/>
      <c r="F291" s="23"/>
      <c r="G291" s="23"/>
      <c r="H291" s="23"/>
      <c r="I291" s="24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3.5" customHeight="1">
      <c r="A292" s="23"/>
      <c r="B292" s="23"/>
      <c r="C292" s="23"/>
      <c r="D292" s="23"/>
      <c r="E292" s="23"/>
      <c r="F292" s="23"/>
      <c r="G292" s="23"/>
      <c r="H292" s="23"/>
      <c r="I292" s="24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3.5" customHeight="1">
      <c r="A293" s="23"/>
      <c r="B293" s="23"/>
      <c r="C293" s="23"/>
      <c r="D293" s="23"/>
      <c r="E293" s="23"/>
      <c r="F293" s="23"/>
      <c r="G293" s="23"/>
      <c r="H293" s="23"/>
      <c r="I293" s="24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3.5" customHeight="1">
      <c r="A294" s="23"/>
      <c r="B294" s="23"/>
      <c r="C294" s="23"/>
      <c r="D294" s="23"/>
      <c r="E294" s="23"/>
      <c r="F294" s="23"/>
      <c r="G294" s="23"/>
      <c r="H294" s="23"/>
      <c r="I294" s="24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3.5" customHeight="1">
      <c r="A295" s="23"/>
      <c r="B295" s="23"/>
      <c r="C295" s="23"/>
      <c r="D295" s="23"/>
      <c r="E295" s="23"/>
      <c r="F295" s="23"/>
      <c r="G295" s="23"/>
      <c r="H295" s="23"/>
      <c r="I295" s="24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3.5" customHeight="1">
      <c r="A296" s="23"/>
      <c r="B296" s="23"/>
      <c r="C296" s="23"/>
      <c r="D296" s="23"/>
      <c r="E296" s="23"/>
      <c r="F296" s="23"/>
      <c r="G296" s="23"/>
      <c r="H296" s="23"/>
      <c r="I296" s="24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3.5" customHeight="1">
      <c r="A297" s="23"/>
      <c r="B297" s="23"/>
      <c r="C297" s="23"/>
      <c r="D297" s="23"/>
      <c r="E297" s="23"/>
      <c r="F297" s="23"/>
      <c r="G297" s="23"/>
      <c r="H297" s="23"/>
      <c r="I297" s="24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3.5" customHeight="1">
      <c r="A298" s="23"/>
      <c r="B298" s="23"/>
      <c r="C298" s="23"/>
      <c r="D298" s="23"/>
      <c r="E298" s="23"/>
      <c r="F298" s="23"/>
      <c r="G298" s="23"/>
      <c r="H298" s="23"/>
      <c r="I298" s="24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3.5" customHeight="1">
      <c r="A299" s="23"/>
      <c r="B299" s="23"/>
      <c r="C299" s="23"/>
      <c r="D299" s="23"/>
      <c r="E299" s="23"/>
      <c r="F299" s="23"/>
      <c r="G299" s="23"/>
      <c r="H299" s="23"/>
      <c r="I299" s="24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3.5" customHeight="1">
      <c r="A300" s="23"/>
      <c r="B300" s="23"/>
      <c r="C300" s="23"/>
      <c r="D300" s="23"/>
      <c r="E300" s="23"/>
      <c r="F300" s="23"/>
      <c r="G300" s="23"/>
      <c r="H300" s="23"/>
      <c r="I300" s="24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3.5" customHeight="1">
      <c r="A301" s="23"/>
      <c r="B301" s="23"/>
      <c r="C301" s="23"/>
      <c r="D301" s="23"/>
      <c r="E301" s="23"/>
      <c r="F301" s="23"/>
      <c r="G301" s="23"/>
      <c r="H301" s="23"/>
      <c r="I301" s="24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3.5" customHeight="1">
      <c r="A302" s="23"/>
      <c r="B302" s="23"/>
      <c r="C302" s="23"/>
      <c r="D302" s="23"/>
      <c r="E302" s="23"/>
      <c r="F302" s="23"/>
      <c r="G302" s="23"/>
      <c r="H302" s="23"/>
      <c r="I302" s="24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3.5" customHeight="1">
      <c r="A303" s="23"/>
      <c r="B303" s="23"/>
      <c r="C303" s="23"/>
      <c r="D303" s="23"/>
      <c r="E303" s="23"/>
      <c r="F303" s="23"/>
      <c r="G303" s="23"/>
      <c r="H303" s="23"/>
      <c r="I303" s="24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3.5" customHeight="1">
      <c r="A304" s="23"/>
      <c r="B304" s="23"/>
      <c r="C304" s="23"/>
      <c r="D304" s="23"/>
      <c r="E304" s="23"/>
      <c r="F304" s="23"/>
      <c r="G304" s="23"/>
      <c r="H304" s="23"/>
      <c r="I304" s="24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3.5" customHeight="1">
      <c r="A305" s="23"/>
      <c r="B305" s="23"/>
      <c r="C305" s="23"/>
      <c r="D305" s="23"/>
      <c r="E305" s="23"/>
      <c r="F305" s="23"/>
      <c r="G305" s="23"/>
      <c r="H305" s="23"/>
      <c r="I305" s="24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D6:E7"/>
    <mergeCell ref="F6:G6"/>
    <mergeCell ref="F7:G7"/>
    <mergeCell ref="A2:C2"/>
    <mergeCell ref="A3:C3"/>
    <mergeCell ref="A4:A5"/>
    <mergeCell ref="B4:B5"/>
    <mergeCell ref="C4:C5"/>
    <mergeCell ref="D4:H4"/>
    <mergeCell ref="A6:A7"/>
    <mergeCell ref="H6:H7"/>
    <mergeCell ref="B6:B7"/>
    <mergeCell ref="C6:C7"/>
    <mergeCell ref="A10:A14"/>
    <mergeCell ref="A18:A22"/>
    <mergeCell ref="A26:A30"/>
    <mergeCell ref="A34:A38"/>
    <mergeCell ref="A42:A46"/>
    <mergeCell ref="A62:B62"/>
    <mergeCell ref="A74:H74"/>
    <mergeCell ref="A80:C80"/>
    <mergeCell ref="D80:H80"/>
    <mergeCell ref="A96:H96"/>
    <mergeCell ref="A101:H101"/>
    <mergeCell ref="A102:H102"/>
    <mergeCell ref="A105:H105"/>
    <mergeCell ref="A50:A54"/>
    <mergeCell ref="A55:H55"/>
    <mergeCell ref="A56:B56"/>
    <mergeCell ref="C56:H56"/>
    <mergeCell ref="A57:B57"/>
    <mergeCell ref="A60:B60"/>
    <mergeCell ref="A61:B61"/>
  </mergeCells>
  <printOptions/>
  <pageMargins bottom="0.0" footer="0.0" header="0.0" left="0.1968503937007874" right="0.0" top="0.1968503937007874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58.71"/>
    <col customWidth="1" min="3" max="3" width="26.71"/>
    <col customWidth="1" min="4" max="4" width="9.71"/>
    <col customWidth="1" min="5" max="5" width="8.71"/>
    <col customWidth="1" min="6" max="6" width="8.14"/>
    <col customWidth="1" min="7" max="7" width="9.14"/>
    <col customWidth="1" min="8" max="8" width="11.0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509</v>
      </c>
      <c r="B2" s="26"/>
      <c r="C2" s="26"/>
      <c r="D2" s="26"/>
      <c r="E2" s="463"/>
      <c r="F2" s="391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410</v>
      </c>
      <c r="B3" s="28"/>
      <c r="C3" s="28"/>
      <c r="D3" s="28"/>
      <c r="E3" s="29" t="s">
        <v>72</v>
      </c>
      <c r="F3" s="23"/>
      <c r="G3" s="23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7.0" customHeight="1">
      <c r="A5" s="32"/>
      <c r="B5" s="32"/>
      <c r="C5" s="32"/>
      <c r="D5" s="405" t="s">
        <v>76</v>
      </c>
      <c r="E5" s="405" t="s">
        <v>77</v>
      </c>
      <c r="F5" s="405" t="s">
        <v>78</v>
      </c>
      <c r="G5" s="405" t="s">
        <v>79</v>
      </c>
      <c r="H5" s="405" t="s">
        <v>80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8.75" customHeight="1">
      <c r="A6" s="140"/>
      <c r="B6" s="406"/>
      <c r="C6" s="141"/>
      <c r="D6" s="40" t="s">
        <v>82</v>
      </c>
      <c r="E6" s="39"/>
      <c r="F6" s="41" t="s">
        <v>83</v>
      </c>
      <c r="G6" s="26"/>
      <c r="H6" s="142" t="s">
        <v>411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1.25" customHeight="1">
      <c r="A7" s="44"/>
      <c r="B7" s="45"/>
      <c r="C7" s="46"/>
      <c r="D7" s="465"/>
      <c r="E7" s="61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8.75" customHeight="1">
      <c r="A8" s="515" t="s">
        <v>510</v>
      </c>
      <c r="B8" s="516"/>
      <c r="C8" s="418" t="s">
        <v>442</v>
      </c>
      <c r="D8" s="52">
        <v>4250.0</v>
      </c>
      <c r="E8" s="53" t="s">
        <v>271</v>
      </c>
      <c r="F8" s="53" t="s">
        <v>271</v>
      </c>
      <c r="G8" s="53" t="s">
        <v>271</v>
      </c>
      <c r="H8" s="53" t="s">
        <v>271</v>
      </c>
      <c r="I8" s="409"/>
      <c r="J8" s="410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8.75" customHeight="1">
      <c r="A9" s="423" t="s">
        <v>355</v>
      </c>
      <c r="B9" s="412" t="s">
        <v>356</v>
      </c>
      <c r="C9" s="413" t="s">
        <v>357</v>
      </c>
      <c r="D9" s="52">
        <v>3950.0</v>
      </c>
      <c r="E9" s="53" t="s">
        <v>271</v>
      </c>
      <c r="F9" s="53" t="s">
        <v>271</v>
      </c>
      <c r="G9" s="53" t="s">
        <v>271</v>
      </c>
      <c r="H9" s="53" t="s">
        <v>271</v>
      </c>
      <c r="I9" s="5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8.75" customHeight="1">
      <c r="A10" s="509" t="s">
        <v>511</v>
      </c>
      <c r="B10" s="412" t="s">
        <v>512</v>
      </c>
      <c r="C10" s="413" t="s">
        <v>513</v>
      </c>
      <c r="D10" s="52">
        <v>3600.0</v>
      </c>
      <c r="E10" s="53" t="s">
        <v>271</v>
      </c>
      <c r="F10" s="53" t="s">
        <v>271</v>
      </c>
      <c r="G10" s="53" t="s">
        <v>271</v>
      </c>
      <c r="H10" s="53" t="s">
        <v>271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8.75" customHeight="1">
      <c r="A11" s="495"/>
      <c r="B11" s="412"/>
      <c r="C11" s="418" t="s">
        <v>364</v>
      </c>
      <c r="D11" s="497">
        <v>4250.0</v>
      </c>
      <c r="E11" s="53" t="s">
        <v>271</v>
      </c>
      <c r="F11" s="53" t="s">
        <v>271</v>
      </c>
      <c r="G11" s="53" t="s">
        <v>271</v>
      </c>
      <c r="H11" s="53" t="s">
        <v>271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4.5" customHeight="1">
      <c r="A12" s="499"/>
      <c r="B12" s="482"/>
      <c r="C12" s="482"/>
      <c r="D12" s="482"/>
      <c r="E12" s="482"/>
      <c r="F12" s="482"/>
      <c r="G12" s="482"/>
      <c r="H12" s="483"/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8.75" customHeight="1">
      <c r="A13" s="515" t="s">
        <v>514</v>
      </c>
      <c r="B13" s="517"/>
      <c r="C13" s="418" t="s">
        <v>442</v>
      </c>
      <c r="D13" s="52">
        <v>4380.0</v>
      </c>
      <c r="E13" s="53" t="s">
        <v>271</v>
      </c>
      <c r="F13" s="53" t="s">
        <v>271</v>
      </c>
      <c r="G13" s="53" t="s">
        <v>271</v>
      </c>
      <c r="H13" s="53" t="s">
        <v>271</v>
      </c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8.75" customHeight="1">
      <c r="A14" s="518" t="s">
        <v>355</v>
      </c>
      <c r="B14" s="496" t="s">
        <v>356</v>
      </c>
      <c r="C14" s="418" t="s">
        <v>357</v>
      </c>
      <c r="D14" s="52">
        <v>3980.0</v>
      </c>
      <c r="E14" s="53" t="s">
        <v>271</v>
      </c>
      <c r="F14" s="53" t="s">
        <v>271</v>
      </c>
      <c r="G14" s="53" t="s">
        <v>271</v>
      </c>
      <c r="H14" s="53" t="s">
        <v>271</v>
      </c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8.75" customHeight="1">
      <c r="A15" s="519" t="s">
        <v>515</v>
      </c>
      <c r="B15" s="412" t="s">
        <v>512</v>
      </c>
      <c r="C15" s="418" t="s">
        <v>513</v>
      </c>
      <c r="D15" s="52">
        <v>3680.0</v>
      </c>
      <c r="E15" s="53" t="s">
        <v>271</v>
      </c>
      <c r="F15" s="53" t="s">
        <v>271</v>
      </c>
      <c r="G15" s="53" t="s">
        <v>271</v>
      </c>
      <c r="H15" s="53" t="s">
        <v>271</v>
      </c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8.75" customHeight="1">
      <c r="A16" s="495"/>
      <c r="B16" s="520"/>
      <c r="C16" s="418" t="s">
        <v>364</v>
      </c>
      <c r="D16" s="497">
        <v>4380.0</v>
      </c>
      <c r="E16" s="53" t="s">
        <v>271</v>
      </c>
      <c r="F16" s="53" t="s">
        <v>271</v>
      </c>
      <c r="G16" s="53" t="s">
        <v>271</v>
      </c>
      <c r="H16" s="53" t="s">
        <v>271</v>
      </c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4.5" customHeight="1">
      <c r="A17" s="499"/>
      <c r="B17" s="482"/>
      <c r="C17" s="482"/>
      <c r="D17" s="482"/>
      <c r="E17" s="482"/>
      <c r="F17" s="482"/>
      <c r="G17" s="482"/>
      <c r="H17" s="483"/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8.75" customHeight="1">
      <c r="A18" s="407" t="s">
        <v>516</v>
      </c>
      <c r="B18" s="521"/>
      <c r="C18" s="418" t="s">
        <v>442</v>
      </c>
      <c r="D18" s="52">
        <v>4580.0</v>
      </c>
      <c r="E18" s="53" t="s">
        <v>271</v>
      </c>
      <c r="F18" s="53" t="s">
        <v>271</v>
      </c>
      <c r="G18" s="53" t="s">
        <v>271</v>
      </c>
      <c r="H18" s="53" t="s">
        <v>271</v>
      </c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8.75" customHeight="1">
      <c r="A19" s="522" t="s">
        <v>355</v>
      </c>
      <c r="B19" s="412" t="s">
        <v>356</v>
      </c>
      <c r="C19" s="413" t="s">
        <v>357</v>
      </c>
      <c r="D19" s="52">
        <v>4180.0</v>
      </c>
      <c r="E19" s="53" t="s">
        <v>271</v>
      </c>
      <c r="F19" s="53" t="s">
        <v>271</v>
      </c>
      <c r="G19" s="53" t="s">
        <v>271</v>
      </c>
      <c r="H19" s="53" t="s">
        <v>271</v>
      </c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8.75" customHeight="1">
      <c r="A20" s="523" t="s">
        <v>517</v>
      </c>
      <c r="B20" s="412" t="s">
        <v>512</v>
      </c>
      <c r="C20" s="413" t="s">
        <v>513</v>
      </c>
      <c r="D20" s="52">
        <v>3880.0</v>
      </c>
      <c r="E20" s="53" t="s">
        <v>271</v>
      </c>
      <c r="F20" s="53" t="s">
        <v>271</v>
      </c>
      <c r="G20" s="53" t="s">
        <v>271</v>
      </c>
      <c r="H20" s="53" t="s">
        <v>271</v>
      </c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8.75" customHeight="1">
      <c r="A21" s="495"/>
      <c r="B21" s="471"/>
      <c r="C21" s="418" t="s">
        <v>364</v>
      </c>
      <c r="D21" s="497">
        <v>4580.0</v>
      </c>
      <c r="E21" s="53" t="s">
        <v>271</v>
      </c>
      <c r="F21" s="53" t="s">
        <v>271</v>
      </c>
      <c r="G21" s="53" t="s">
        <v>271</v>
      </c>
      <c r="H21" s="53" t="s">
        <v>271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4.0" customHeight="1">
      <c r="A22" s="484" t="s">
        <v>373</v>
      </c>
      <c r="B22" s="485"/>
      <c r="C22" s="485"/>
      <c r="D22" s="485"/>
      <c r="E22" s="485"/>
      <c r="F22" s="485"/>
      <c r="G22" s="485"/>
      <c r="H22" s="486"/>
      <c r="I22" s="487"/>
      <c r="J22" s="24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6.5" customHeight="1">
      <c r="A23" s="404" t="s">
        <v>96</v>
      </c>
      <c r="B23" s="6"/>
      <c r="C23" s="404" t="s">
        <v>97</v>
      </c>
      <c r="D23" s="5"/>
      <c r="E23" s="5"/>
      <c r="F23" s="5"/>
      <c r="G23" s="5"/>
      <c r="H23" s="6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2.0" customHeight="1">
      <c r="A24" s="152" t="s">
        <v>98</v>
      </c>
      <c r="B24" s="38"/>
      <c r="C24" s="153" t="s">
        <v>99</v>
      </c>
      <c r="D24" s="62"/>
      <c r="E24" s="62"/>
      <c r="F24" s="62"/>
      <c r="G24" s="62"/>
      <c r="H24" s="6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2.0" customHeight="1">
      <c r="A25" s="64" t="s">
        <v>191</v>
      </c>
      <c r="B25" s="85"/>
      <c r="C25" s="64" t="s">
        <v>101</v>
      </c>
      <c r="D25" s="65"/>
      <c r="E25" s="65"/>
      <c r="F25" s="65"/>
      <c r="G25" s="65"/>
      <c r="H25" s="67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2.0" customHeight="1">
      <c r="A26" s="436" t="s">
        <v>417</v>
      </c>
      <c r="B26" s="85"/>
      <c r="C26" s="70" t="s">
        <v>518</v>
      </c>
      <c r="D26" s="65"/>
      <c r="E26" s="65"/>
      <c r="F26" s="65"/>
      <c r="G26" s="65"/>
      <c r="H26" s="67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2.0" customHeight="1">
      <c r="A27" s="60" t="s">
        <v>376</v>
      </c>
      <c r="C27" s="70" t="s">
        <v>105</v>
      </c>
      <c r="D27" s="65"/>
      <c r="E27" s="65"/>
      <c r="F27" s="65"/>
      <c r="G27" s="65"/>
      <c r="H27" s="67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2.0" customHeight="1">
      <c r="A28" s="69" t="s">
        <v>104</v>
      </c>
      <c r="C28" s="70" t="s">
        <v>107</v>
      </c>
      <c r="D28" s="65"/>
      <c r="E28" s="65"/>
      <c r="F28" s="65"/>
      <c r="G28" s="65"/>
      <c r="H28" s="67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2.0" customHeight="1">
      <c r="A29" s="69" t="s">
        <v>106</v>
      </c>
      <c r="C29" s="437" t="s">
        <v>377</v>
      </c>
      <c r="D29" s="74"/>
      <c r="E29" s="74"/>
      <c r="F29" s="74"/>
      <c r="G29" s="74"/>
      <c r="H29" s="75"/>
      <c r="I29" s="24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2.0" customHeight="1">
      <c r="A30" s="71" t="s">
        <v>519</v>
      </c>
      <c r="B30" s="23"/>
      <c r="C30" s="70"/>
      <c r="D30" s="65"/>
      <c r="E30" s="65"/>
      <c r="F30" s="65"/>
      <c r="G30" s="65"/>
      <c r="H30" s="67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2.0" customHeight="1">
      <c r="A31" s="71" t="s">
        <v>520</v>
      </c>
      <c r="B31" s="23"/>
      <c r="C31" s="69"/>
      <c r="D31" s="65"/>
      <c r="E31" s="65"/>
      <c r="F31" s="65"/>
      <c r="G31" s="65"/>
      <c r="H31" s="67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2.0" customHeight="1">
      <c r="A32" s="71" t="s">
        <v>216</v>
      </c>
      <c r="B32" s="23"/>
      <c r="C32" s="69"/>
      <c r="D32" s="65"/>
      <c r="E32" s="65"/>
      <c r="F32" s="65"/>
      <c r="G32" s="65"/>
      <c r="H32" s="67"/>
      <c r="I32" s="24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2.0" customHeight="1">
      <c r="A33" s="71" t="s">
        <v>521</v>
      </c>
      <c r="B33" s="23"/>
      <c r="C33" s="71"/>
      <c r="D33" s="65"/>
      <c r="E33" s="65"/>
      <c r="F33" s="65"/>
      <c r="G33" s="65"/>
      <c r="H33" s="67"/>
      <c r="I33" s="24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0" customHeight="1">
      <c r="A34" s="71" t="s">
        <v>522</v>
      </c>
      <c r="B34" s="23"/>
      <c r="C34" s="524"/>
      <c r="D34" s="525"/>
      <c r="E34" s="525"/>
      <c r="F34" s="525"/>
      <c r="G34" s="525"/>
      <c r="H34" s="67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0" customHeight="1">
      <c r="A35" s="71" t="s">
        <v>523</v>
      </c>
      <c r="B35" s="23"/>
      <c r="C35" s="439" t="s">
        <v>384</v>
      </c>
      <c r="D35" s="440"/>
      <c r="E35" s="440"/>
      <c r="F35" s="440"/>
      <c r="G35" s="440"/>
      <c r="H35" s="488"/>
      <c r="I35" s="24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0" customHeight="1">
      <c r="A36" s="71" t="s">
        <v>385</v>
      </c>
      <c r="B36" s="23"/>
      <c r="C36" s="71" t="s">
        <v>386</v>
      </c>
      <c r="D36" s="65"/>
      <c r="E36" s="65"/>
      <c r="F36" s="65" t="s">
        <v>524</v>
      </c>
      <c r="G36" s="65"/>
      <c r="H36" s="67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0" customHeight="1">
      <c r="A37" s="71" t="s">
        <v>388</v>
      </c>
      <c r="B37" s="23"/>
      <c r="C37" s="71"/>
      <c r="D37" s="65"/>
      <c r="E37" s="65"/>
      <c r="F37" s="65"/>
      <c r="G37" s="65"/>
      <c r="H37" s="67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0" customHeight="1">
      <c r="A38" s="71"/>
      <c r="B38" s="23"/>
      <c r="C38" s="86"/>
      <c r="D38" s="156"/>
      <c r="E38" s="156"/>
      <c r="F38" s="156"/>
      <c r="G38" s="156"/>
      <c r="H38" s="442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443" t="s">
        <v>393</v>
      </c>
      <c r="B39" s="89"/>
      <c r="C39" s="89"/>
      <c r="D39" s="89"/>
      <c r="E39" s="89"/>
      <c r="F39" s="89"/>
      <c r="G39" s="89"/>
      <c r="H39" s="90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449" t="s">
        <v>114</v>
      </c>
      <c r="B40" s="23" t="s">
        <v>115</v>
      </c>
      <c r="C40" s="85" t="s">
        <v>137</v>
      </c>
      <c r="D40" s="85"/>
      <c r="E40" s="106"/>
      <c r="F40" s="106"/>
      <c r="G40" s="106"/>
      <c r="H40" s="450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451" t="s">
        <v>117</v>
      </c>
      <c r="B41" s="85" t="s">
        <v>224</v>
      </c>
      <c r="C41" s="85" t="s">
        <v>225</v>
      </c>
      <c r="D41" s="85"/>
      <c r="E41" s="106"/>
      <c r="F41" s="106"/>
      <c r="G41" s="106"/>
      <c r="H41" s="450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451" t="s">
        <v>121</v>
      </c>
      <c r="B42" s="85" t="s">
        <v>525</v>
      </c>
      <c r="C42" s="85" t="s">
        <v>225</v>
      </c>
      <c r="D42" s="85"/>
      <c r="E42" s="106"/>
      <c r="F42" s="106"/>
      <c r="G42" s="106"/>
      <c r="H42" s="450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451" t="s">
        <v>194</v>
      </c>
      <c r="B43" s="85" t="s">
        <v>122</v>
      </c>
      <c r="C43" s="85" t="s">
        <v>119</v>
      </c>
      <c r="D43" s="85"/>
      <c r="E43" s="106"/>
      <c r="F43" s="106"/>
      <c r="G43" s="106"/>
      <c r="H43" s="450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>
      <c r="A44" s="404" t="s">
        <v>148</v>
      </c>
      <c r="B44" s="5"/>
      <c r="C44" s="5"/>
      <c r="D44" s="492" t="s">
        <v>149</v>
      </c>
      <c r="E44" s="5"/>
      <c r="F44" s="5"/>
      <c r="G44" s="5"/>
      <c r="H44" s="6"/>
      <c r="I44" s="24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ht="13.5" customHeight="1">
      <c r="A45" s="459" t="s">
        <v>526</v>
      </c>
      <c r="B45" s="460"/>
      <c r="C45" s="461"/>
      <c r="D45" s="118">
        <v>1.0</v>
      </c>
      <c r="E45" s="62" t="s">
        <v>151</v>
      </c>
      <c r="F45" s="62"/>
      <c r="G45" s="119"/>
      <c r="H45" s="120"/>
      <c r="I45" s="24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ht="13.5" customHeight="1">
      <c r="A46" s="116" t="s">
        <v>527</v>
      </c>
      <c r="B46" s="91"/>
      <c r="C46" s="165"/>
      <c r="D46" s="121">
        <v>0.5</v>
      </c>
      <c r="E46" s="122" t="s">
        <v>153</v>
      </c>
      <c r="F46" s="122"/>
      <c r="G46" s="123"/>
      <c r="H46" s="124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3.5" customHeight="1">
      <c r="A47" s="125" t="s">
        <v>528</v>
      </c>
      <c r="B47" s="23"/>
      <c r="C47" s="72"/>
      <c r="D47" s="121">
        <v>0.0</v>
      </c>
      <c r="E47" s="122" t="s">
        <v>155</v>
      </c>
      <c r="F47" s="122"/>
      <c r="G47" s="123"/>
      <c r="H47" s="124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3.5" customHeight="1">
      <c r="A48" s="127" t="s">
        <v>529</v>
      </c>
      <c r="B48" s="23"/>
      <c r="C48" s="72"/>
      <c r="D48" s="129"/>
      <c r="E48" s="65"/>
      <c r="F48" s="65"/>
      <c r="G48" s="130"/>
      <c r="H48" s="131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3.5" customHeight="1">
      <c r="A49" s="127" t="s">
        <v>530</v>
      </c>
      <c r="B49" s="23"/>
      <c r="C49" s="72"/>
      <c r="D49" s="71"/>
      <c r="E49" s="23"/>
      <c r="F49" s="23"/>
      <c r="G49" s="23"/>
      <c r="H49" s="72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3.5" customHeight="1">
      <c r="A50" s="127" t="s">
        <v>531</v>
      </c>
      <c r="B50" s="23"/>
      <c r="C50" s="72"/>
      <c r="D50" s="23"/>
      <c r="E50" s="23"/>
      <c r="F50" s="23"/>
      <c r="G50" s="23"/>
      <c r="H50" s="72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3.5" customHeight="1">
      <c r="A51" s="127" t="s">
        <v>532</v>
      </c>
      <c r="B51" s="23"/>
      <c r="C51" s="72"/>
      <c r="D51" s="23"/>
      <c r="E51" s="23"/>
      <c r="F51" s="23"/>
      <c r="G51" s="23"/>
      <c r="H51" s="72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3.5" customHeight="1">
      <c r="A52" s="127" t="s">
        <v>533</v>
      </c>
      <c r="B52" s="23"/>
      <c r="C52" s="72"/>
      <c r="D52" s="23"/>
      <c r="E52" s="23"/>
      <c r="F52" s="23"/>
      <c r="G52" s="23"/>
      <c r="H52" s="72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3.5" customHeight="1">
      <c r="A53" s="132" t="s">
        <v>161</v>
      </c>
      <c r="B53" s="134" t="s">
        <v>163</v>
      </c>
      <c r="C53" s="72"/>
      <c r="D53" s="23"/>
      <c r="E53" s="23"/>
      <c r="F53" s="23"/>
      <c r="G53" s="23"/>
      <c r="H53" s="72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3.5" customHeight="1">
      <c r="A54" s="125" t="s">
        <v>534</v>
      </c>
      <c r="B54" s="23"/>
      <c r="C54" s="72"/>
      <c r="D54" s="23"/>
      <c r="E54" s="23"/>
      <c r="F54" s="23"/>
      <c r="G54" s="23"/>
      <c r="H54" s="72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3.5" customHeight="1">
      <c r="A55" s="71" t="s">
        <v>164</v>
      </c>
      <c r="B55" s="135" t="s">
        <v>165</v>
      </c>
      <c r="C55" s="462"/>
      <c r="D55" s="23"/>
      <c r="E55" s="23"/>
      <c r="F55" s="23"/>
      <c r="G55" s="23"/>
      <c r="H55" s="72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3.5" customHeight="1">
      <c r="A56" s="71" t="s">
        <v>166</v>
      </c>
      <c r="B56" s="135" t="s">
        <v>167</v>
      </c>
      <c r="C56" s="462"/>
      <c r="D56" s="23"/>
      <c r="E56" s="23"/>
      <c r="F56" s="23"/>
      <c r="G56" s="23"/>
      <c r="H56" s="72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3.5" customHeight="1">
      <c r="A57" s="71" t="s">
        <v>168</v>
      </c>
      <c r="B57" s="135" t="s">
        <v>169</v>
      </c>
      <c r="C57" s="462"/>
      <c r="D57" s="23"/>
      <c r="E57" s="23"/>
      <c r="F57" s="23"/>
      <c r="G57" s="23"/>
      <c r="H57" s="72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3.5" customHeight="1">
      <c r="A58" s="71" t="s">
        <v>170</v>
      </c>
      <c r="B58" s="23" t="s">
        <v>171</v>
      </c>
      <c r="C58" s="72"/>
      <c r="D58" s="23"/>
      <c r="E58" s="23"/>
      <c r="F58" s="23"/>
      <c r="G58" s="23"/>
      <c r="H58" s="72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3.5" customHeight="1">
      <c r="A59" s="86" t="s">
        <v>172</v>
      </c>
      <c r="B59" s="87" t="s">
        <v>173</v>
      </c>
      <c r="C59" s="136"/>
      <c r="D59" s="87"/>
      <c r="E59" s="87"/>
      <c r="F59" s="87"/>
      <c r="G59" s="87"/>
      <c r="H59" s="136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3.5" customHeight="1">
      <c r="A60" s="456" t="s">
        <v>174</v>
      </c>
      <c r="B60" s="28"/>
      <c r="C60" s="28"/>
      <c r="D60" s="28"/>
      <c r="E60" s="28"/>
      <c r="F60" s="28"/>
      <c r="G60" s="28"/>
      <c r="H60" s="458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3.5" customHeight="1">
      <c r="A61" s="64" t="s">
        <v>175</v>
      </c>
      <c r="B61" s="65"/>
      <c r="C61" s="65"/>
      <c r="D61" s="65"/>
      <c r="E61" s="65"/>
      <c r="F61" s="65"/>
      <c r="G61" s="65"/>
      <c r="H61" s="67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3.5" customHeight="1">
      <c r="A62" s="64" t="s">
        <v>176</v>
      </c>
      <c r="B62" s="65"/>
      <c r="C62" s="65"/>
      <c r="D62" s="65"/>
      <c r="E62" s="65"/>
      <c r="F62" s="65"/>
      <c r="G62" s="65"/>
      <c r="H62" s="67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3.5" customHeight="1">
      <c r="A63" s="64" t="s">
        <v>177</v>
      </c>
      <c r="B63" s="65"/>
      <c r="C63" s="65"/>
      <c r="D63" s="65"/>
      <c r="E63" s="65"/>
      <c r="F63" s="65"/>
      <c r="G63" s="65"/>
      <c r="H63" s="67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3.5" customHeight="1">
      <c r="A64" s="64" t="s">
        <v>535</v>
      </c>
      <c r="B64" s="65"/>
      <c r="C64" s="65"/>
      <c r="D64" s="65"/>
      <c r="E64" s="65"/>
      <c r="F64" s="65"/>
      <c r="G64" s="65"/>
      <c r="H64" s="67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0" customHeight="1">
      <c r="A65" s="60" t="s">
        <v>179</v>
      </c>
      <c r="H65" s="61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137" t="s">
        <v>180</v>
      </c>
      <c r="H66" s="61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3.5" customHeight="1">
      <c r="A67" s="138" t="s">
        <v>181</v>
      </c>
      <c r="B67" s="65"/>
      <c r="C67" s="65"/>
      <c r="D67" s="65"/>
      <c r="E67" s="65"/>
      <c r="F67" s="65"/>
      <c r="G67" s="65"/>
      <c r="H67" s="67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3.5" customHeight="1">
      <c r="A68" s="64" t="s">
        <v>182</v>
      </c>
      <c r="B68" s="65"/>
      <c r="C68" s="65"/>
      <c r="D68" s="65"/>
      <c r="E68" s="65"/>
      <c r="F68" s="65"/>
      <c r="G68" s="65"/>
      <c r="H68" s="67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26.25" customHeight="1">
      <c r="A69" s="78" t="s">
        <v>536</v>
      </c>
      <c r="B69" s="45"/>
      <c r="C69" s="45"/>
      <c r="D69" s="45"/>
      <c r="E69" s="45"/>
      <c r="F69" s="45"/>
      <c r="G69" s="45"/>
      <c r="H69" s="46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3.5" customHeight="1">
      <c r="A70" s="23"/>
      <c r="B70" s="23"/>
      <c r="C70" s="23"/>
      <c r="D70" s="23"/>
      <c r="E70" s="23"/>
      <c r="F70" s="23"/>
      <c r="G70" s="23"/>
      <c r="H70" s="23"/>
      <c r="I70" s="24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3.5" customHeight="1">
      <c r="A71" s="23"/>
      <c r="B71" s="23"/>
      <c r="C71" s="23"/>
      <c r="D71" s="23"/>
      <c r="E71" s="23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4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4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4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4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D6:E7"/>
    <mergeCell ref="F6:G6"/>
    <mergeCell ref="F7:G7"/>
    <mergeCell ref="A2:D2"/>
    <mergeCell ref="A3:D3"/>
    <mergeCell ref="A4:A5"/>
    <mergeCell ref="B4:B5"/>
    <mergeCell ref="C4:C5"/>
    <mergeCell ref="D4:H4"/>
    <mergeCell ref="A6:A7"/>
    <mergeCell ref="H6:H7"/>
    <mergeCell ref="B6:B7"/>
    <mergeCell ref="C6:C7"/>
    <mergeCell ref="A10:A11"/>
    <mergeCell ref="A15:A16"/>
    <mergeCell ref="A20:A21"/>
    <mergeCell ref="A22:H22"/>
    <mergeCell ref="C23:H23"/>
    <mergeCell ref="D44:H44"/>
    <mergeCell ref="A60:H60"/>
    <mergeCell ref="A65:H65"/>
    <mergeCell ref="A66:H66"/>
    <mergeCell ref="A69:H69"/>
    <mergeCell ref="A23:B23"/>
    <mergeCell ref="A24:B24"/>
    <mergeCell ref="A27:B27"/>
    <mergeCell ref="A28:B28"/>
    <mergeCell ref="A29:B29"/>
    <mergeCell ref="A39:H39"/>
    <mergeCell ref="A44:C44"/>
  </mergeCells>
  <printOptions/>
  <pageMargins bottom="0.0" footer="0.0" header="0.0" left="0.1968503937007874" right="0.0" top="0.1968503937007874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53.57"/>
    <col customWidth="1" min="3" max="3" width="29.86"/>
    <col customWidth="1" min="4" max="4" width="11.14"/>
    <col customWidth="1" min="5" max="5" width="8.86"/>
    <col customWidth="1" min="6" max="6" width="9.14"/>
    <col customWidth="1" min="7" max="7" width="7.57"/>
    <col customWidth="1" min="8" max="8" width="12.14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537</v>
      </c>
      <c r="B2" s="26"/>
      <c r="C2" s="26"/>
      <c r="D2" s="26"/>
      <c r="E2" s="463"/>
      <c r="F2" s="391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526" t="s">
        <v>410</v>
      </c>
      <c r="B3" s="26"/>
      <c r="C3" s="26"/>
      <c r="D3" s="26"/>
      <c r="E3" s="29" t="s">
        <v>72</v>
      </c>
      <c r="F3" s="23"/>
      <c r="G3" s="23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56" t="s">
        <v>185</v>
      </c>
      <c r="E4" s="28"/>
      <c r="F4" s="28"/>
      <c r="G4" s="28"/>
      <c r="H4" s="458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5.5" customHeight="1">
      <c r="A5" s="32"/>
      <c r="B5" s="32"/>
      <c r="C5" s="32"/>
      <c r="D5" s="405" t="s">
        <v>76</v>
      </c>
      <c r="E5" s="405" t="s">
        <v>77</v>
      </c>
      <c r="F5" s="405" t="s">
        <v>78</v>
      </c>
      <c r="G5" s="405" t="s">
        <v>79</v>
      </c>
      <c r="H5" s="405" t="s">
        <v>80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140"/>
      <c r="B6" s="406"/>
      <c r="C6" s="141"/>
      <c r="D6" s="40" t="s">
        <v>82</v>
      </c>
      <c r="E6" s="39"/>
      <c r="F6" s="41" t="s">
        <v>83</v>
      </c>
      <c r="G6" s="26"/>
      <c r="H6" s="142" t="s">
        <v>411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4.25" customHeight="1">
      <c r="A7" s="108"/>
      <c r="C7" s="61"/>
      <c r="D7" s="465"/>
      <c r="E7" s="61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407" t="s">
        <v>538</v>
      </c>
      <c r="B8" s="141"/>
      <c r="C8" s="418" t="s">
        <v>442</v>
      </c>
      <c r="D8" s="52">
        <v>6280.0</v>
      </c>
      <c r="E8" s="53" t="s">
        <v>271</v>
      </c>
      <c r="F8" s="53" t="s">
        <v>271</v>
      </c>
      <c r="G8" s="53" t="s">
        <v>271</v>
      </c>
      <c r="H8" s="53" t="s">
        <v>271</v>
      </c>
      <c r="I8" s="55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423" t="s">
        <v>355</v>
      </c>
      <c r="B9" s="412" t="s">
        <v>356</v>
      </c>
      <c r="C9" s="413" t="s">
        <v>357</v>
      </c>
      <c r="D9" s="52">
        <v>5680.0</v>
      </c>
      <c r="E9" s="53" t="s">
        <v>271</v>
      </c>
      <c r="F9" s="53" t="s">
        <v>271</v>
      </c>
      <c r="G9" s="53" t="s">
        <v>271</v>
      </c>
      <c r="H9" s="53" t="s">
        <v>271</v>
      </c>
      <c r="I9" s="5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509" t="s">
        <v>511</v>
      </c>
      <c r="B10" s="412" t="s">
        <v>539</v>
      </c>
      <c r="C10" s="413" t="s">
        <v>513</v>
      </c>
      <c r="D10" s="52">
        <v>5100.0</v>
      </c>
      <c r="E10" s="53" t="s">
        <v>271</v>
      </c>
      <c r="F10" s="53" t="s">
        <v>271</v>
      </c>
      <c r="G10" s="53" t="s">
        <v>271</v>
      </c>
      <c r="H10" s="53" t="s">
        <v>271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495"/>
      <c r="B11" s="527"/>
      <c r="C11" s="418" t="s">
        <v>364</v>
      </c>
      <c r="D11" s="497">
        <v>6180.0</v>
      </c>
      <c r="E11" s="53" t="s">
        <v>271</v>
      </c>
      <c r="F11" s="53" t="s">
        <v>271</v>
      </c>
      <c r="G11" s="53" t="s">
        <v>271</v>
      </c>
      <c r="H11" s="53" t="s">
        <v>271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3.75" customHeight="1">
      <c r="A12" s="499"/>
      <c r="B12" s="482"/>
      <c r="C12" s="482"/>
      <c r="D12" s="482"/>
      <c r="E12" s="482"/>
      <c r="F12" s="482"/>
      <c r="G12" s="482"/>
      <c r="H12" s="483"/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515" t="s">
        <v>540</v>
      </c>
      <c r="B13" s="517"/>
      <c r="C13" s="418" t="s">
        <v>442</v>
      </c>
      <c r="D13" s="52">
        <v>6380.0</v>
      </c>
      <c r="E13" s="53" t="s">
        <v>271</v>
      </c>
      <c r="F13" s="53" t="s">
        <v>271</v>
      </c>
      <c r="G13" s="53" t="s">
        <v>271</v>
      </c>
      <c r="H13" s="53" t="s">
        <v>271</v>
      </c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518" t="s">
        <v>355</v>
      </c>
      <c r="B14" s="496" t="s">
        <v>356</v>
      </c>
      <c r="C14" s="418" t="s">
        <v>357</v>
      </c>
      <c r="D14" s="52">
        <v>5780.0</v>
      </c>
      <c r="E14" s="53" t="s">
        <v>271</v>
      </c>
      <c r="F14" s="53" t="s">
        <v>271</v>
      </c>
      <c r="G14" s="53" t="s">
        <v>271</v>
      </c>
      <c r="H14" s="53" t="s">
        <v>271</v>
      </c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519" t="s">
        <v>515</v>
      </c>
      <c r="B15" s="412" t="s">
        <v>539</v>
      </c>
      <c r="C15" s="418" t="s">
        <v>513</v>
      </c>
      <c r="D15" s="52">
        <v>5200.0</v>
      </c>
      <c r="E15" s="53" t="s">
        <v>271</v>
      </c>
      <c r="F15" s="53" t="s">
        <v>271</v>
      </c>
      <c r="G15" s="53" t="s">
        <v>271</v>
      </c>
      <c r="H15" s="53" t="s">
        <v>271</v>
      </c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495"/>
      <c r="B16" s="520"/>
      <c r="C16" s="418" t="s">
        <v>364</v>
      </c>
      <c r="D16" s="497">
        <v>6280.0</v>
      </c>
      <c r="E16" s="53" t="s">
        <v>271</v>
      </c>
      <c r="F16" s="53" t="s">
        <v>271</v>
      </c>
      <c r="G16" s="53" t="s">
        <v>271</v>
      </c>
      <c r="H16" s="53" t="s">
        <v>271</v>
      </c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3.75" customHeight="1">
      <c r="A17" s="528"/>
      <c r="B17" s="5"/>
      <c r="C17" s="5"/>
      <c r="D17" s="5"/>
      <c r="E17" s="5"/>
      <c r="F17" s="5"/>
      <c r="G17" s="5"/>
      <c r="H17" s="6"/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6.5" customHeight="1">
      <c r="A18" s="407" t="s">
        <v>541</v>
      </c>
      <c r="B18" s="521"/>
      <c r="C18" s="418" t="s">
        <v>442</v>
      </c>
      <c r="D18" s="52">
        <v>6780.0</v>
      </c>
      <c r="E18" s="53" t="s">
        <v>271</v>
      </c>
      <c r="F18" s="53" t="s">
        <v>271</v>
      </c>
      <c r="G18" s="53" t="s">
        <v>271</v>
      </c>
      <c r="H18" s="53" t="s">
        <v>271</v>
      </c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6.5" customHeight="1">
      <c r="A19" s="522" t="s">
        <v>355</v>
      </c>
      <c r="B19" s="412" t="s">
        <v>356</v>
      </c>
      <c r="C19" s="413" t="s">
        <v>357</v>
      </c>
      <c r="D19" s="52">
        <v>6100.0</v>
      </c>
      <c r="E19" s="53" t="s">
        <v>271</v>
      </c>
      <c r="F19" s="53" t="s">
        <v>271</v>
      </c>
      <c r="G19" s="53" t="s">
        <v>271</v>
      </c>
      <c r="H19" s="53" t="s">
        <v>271</v>
      </c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6.5" customHeight="1">
      <c r="A20" s="523" t="s">
        <v>517</v>
      </c>
      <c r="B20" s="412" t="s">
        <v>539</v>
      </c>
      <c r="C20" s="413" t="s">
        <v>513</v>
      </c>
      <c r="D20" s="52">
        <v>5580.0</v>
      </c>
      <c r="E20" s="53" t="s">
        <v>271</v>
      </c>
      <c r="F20" s="53" t="s">
        <v>271</v>
      </c>
      <c r="G20" s="53" t="s">
        <v>271</v>
      </c>
      <c r="H20" s="53" t="s">
        <v>271</v>
      </c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6.5" customHeight="1">
      <c r="A21" s="495"/>
      <c r="B21" s="471"/>
      <c r="C21" s="418" t="s">
        <v>364</v>
      </c>
      <c r="D21" s="497">
        <v>6680.0</v>
      </c>
      <c r="E21" s="53" t="s">
        <v>271</v>
      </c>
      <c r="F21" s="53" t="s">
        <v>271</v>
      </c>
      <c r="G21" s="53" t="s">
        <v>271</v>
      </c>
      <c r="H21" s="53" t="s">
        <v>271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4.0" customHeight="1">
      <c r="A22" s="484" t="s">
        <v>373</v>
      </c>
      <c r="B22" s="485"/>
      <c r="C22" s="485"/>
      <c r="D22" s="485"/>
      <c r="E22" s="485"/>
      <c r="F22" s="485"/>
      <c r="G22" s="485"/>
      <c r="H22" s="486"/>
      <c r="I22" s="487"/>
      <c r="J22" s="24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6.5" customHeight="1">
      <c r="A23" s="404" t="s">
        <v>96</v>
      </c>
      <c r="B23" s="6"/>
      <c r="C23" s="435" t="s">
        <v>97</v>
      </c>
      <c r="D23" s="5"/>
      <c r="E23" s="5"/>
      <c r="F23" s="5"/>
      <c r="G23" s="5"/>
      <c r="H23" s="6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2.0" customHeight="1">
      <c r="A24" s="152" t="s">
        <v>98</v>
      </c>
      <c r="B24" s="39"/>
      <c r="C24" s="62" t="s">
        <v>99</v>
      </c>
      <c r="D24" s="62"/>
      <c r="E24" s="62"/>
      <c r="F24" s="62"/>
      <c r="G24" s="62"/>
      <c r="H24" s="63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0" customHeight="1">
      <c r="A25" s="64" t="s">
        <v>246</v>
      </c>
      <c r="B25" s="66"/>
      <c r="C25" s="65" t="s">
        <v>101</v>
      </c>
      <c r="D25" s="65"/>
      <c r="E25" s="65"/>
      <c r="F25" s="65"/>
      <c r="G25" s="65"/>
      <c r="H25" s="67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2.0" customHeight="1">
      <c r="A26" s="436" t="s">
        <v>417</v>
      </c>
      <c r="B26" s="66"/>
      <c r="C26" s="68" t="s">
        <v>518</v>
      </c>
      <c r="D26" s="65"/>
      <c r="E26" s="65"/>
      <c r="F26" s="65"/>
      <c r="G26" s="65"/>
      <c r="H26" s="67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0" customHeight="1">
      <c r="A27" s="60" t="s">
        <v>376</v>
      </c>
      <c r="B27" s="61"/>
      <c r="C27" s="68" t="s">
        <v>105</v>
      </c>
      <c r="D27" s="65"/>
      <c r="E27" s="65"/>
      <c r="F27" s="65"/>
      <c r="G27" s="65"/>
      <c r="H27" s="67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0" customHeight="1">
      <c r="A28" s="69" t="s">
        <v>104</v>
      </c>
      <c r="B28" s="61"/>
      <c r="C28" s="68" t="s">
        <v>107</v>
      </c>
      <c r="D28" s="65"/>
      <c r="E28" s="65"/>
      <c r="F28" s="65"/>
      <c r="G28" s="65"/>
      <c r="H28" s="67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0" customHeight="1">
      <c r="A29" s="69" t="s">
        <v>106</v>
      </c>
      <c r="B29" s="61"/>
      <c r="C29" s="73" t="s">
        <v>377</v>
      </c>
      <c r="D29" s="74"/>
      <c r="E29" s="74"/>
      <c r="F29" s="74"/>
      <c r="G29" s="74"/>
      <c r="H29" s="75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2.0" customHeight="1">
      <c r="A30" s="71" t="s">
        <v>542</v>
      </c>
      <c r="B30" s="72"/>
      <c r="C30" s="68"/>
      <c r="D30" s="65"/>
      <c r="E30" s="65"/>
      <c r="F30" s="65"/>
      <c r="G30" s="65"/>
      <c r="H30" s="67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0" customHeight="1">
      <c r="A31" s="71" t="s">
        <v>543</v>
      </c>
      <c r="B31" s="72"/>
      <c r="C31" s="529"/>
      <c r="D31" s="65"/>
      <c r="E31" s="65"/>
      <c r="F31" s="65"/>
      <c r="G31" s="65"/>
      <c r="H31" s="67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0" customHeight="1">
      <c r="A32" s="71" t="s">
        <v>216</v>
      </c>
      <c r="B32" s="72"/>
      <c r="C32" s="23"/>
      <c r="D32" s="65"/>
      <c r="E32" s="65"/>
      <c r="F32" s="65"/>
      <c r="G32" s="65"/>
      <c r="H32" s="67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0" customHeight="1">
      <c r="A33" s="71" t="s">
        <v>544</v>
      </c>
      <c r="B33" s="72"/>
      <c r="C33" s="23"/>
      <c r="D33" s="65"/>
      <c r="E33" s="65"/>
      <c r="F33" s="65"/>
      <c r="G33" s="65"/>
      <c r="H33" s="67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2.0" customHeight="1">
      <c r="A34" s="71" t="s">
        <v>545</v>
      </c>
      <c r="B34" s="72"/>
      <c r="C34" s="23"/>
      <c r="D34" s="65"/>
      <c r="E34" s="65"/>
      <c r="F34" s="65"/>
      <c r="G34" s="65"/>
      <c r="H34" s="67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0" customHeight="1">
      <c r="A35" s="71" t="s">
        <v>546</v>
      </c>
      <c r="B35" s="72"/>
      <c r="C35" s="530" t="s">
        <v>384</v>
      </c>
      <c r="D35" s="531"/>
      <c r="E35" s="531"/>
      <c r="F35" s="531"/>
      <c r="G35" s="531"/>
      <c r="H35" s="532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0" customHeight="1">
      <c r="A36" s="71" t="s">
        <v>385</v>
      </c>
      <c r="B36" s="72"/>
      <c r="C36" s="71" t="s">
        <v>386</v>
      </c>
      <c r="D36" s="65"/>
      <c r="E36" s="65"/>
      <c r="F36" s="65" t="s">
        <v>547</v>
      </c>
      <c r="G36" s="65"/>
      <c r="H36" s="67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2.0" customHeight="1">
      <c r="A37" s="71" t="s">
        <v>388</v>
      </c>
      <c r="B37" s="72"/>
      <c r="C37" s="23"/>
      <c r="D37" s="65"/>
      <c r="E37" s="65"/>
      <c r="F37" s="65"/>
      <c r="G37" s="65"/>
      <c r="H37" s="67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0" customHeight="1">
      <c r="A38" s="71"/>
      <c r="B38" s="72"/>
      <c r="C38" s="23"/>
      <c r="D38" s="65"/>
      <c r="E38" s="65"/>
      <c r="F38" s="65"/>
      <c r="G38" s="65"/>
      <c r="H38" s="67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2.75" customHeight="1">
      <c r="A39" s="443" t="s">
        <v>393</v>
      </c>
      <c r="B39" s="89"/>
      <c r="C39" s="89"/>
      <c r="D39" s="89"/>
      <c r="E39" s="89"/>
      <c r="F39" s="89"/>
      <c r="G39" s="89"/>
      <c r="H39" s="90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489" t="s">
        <v>114</v>
      </c>
      <c r="B40" s="82" t="s">
        <v>115</v>
      </c>
      <c r="C40" s="83" t="s">
        <v>137</v>
      </c>
      <c r="D40" s="83"/>
      <c r="E40" s="490"/>
      <c r="F40" s="490"/>
      <c r="G40" s="490"/>
      <c r="H40" s="491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451" t="s">
        <v>117</v>
      </c>
      <c r="B41" s="85" t="s">
        <v>224</v>
      </c>
      <c r="C41" s="85" t="s">
        <v>225</v>
      </c>
      <c r="D41" s="85"/>
      <c r="E41" s="106"/>
      <c r="F41" s="106"/>
      <c r="G41" s="106"/>
      <c r="H41" s="450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22.5" customHeight="1">
      <c r="A42" s="451" t="s">
        <v>121</v>
      </c>
      <c r="B42" s="85" t="s">
        <v>525</v>
      </c>
      <c r="C42" s="85" t="s">
        <v>225</v>
      </c>
      <c r="D42" s="85"/>
      <c r="E42" s="106"/>
      <c r="F42" s="106"/>
      <c r="G42" s="106"/>
      <c r="H42" s="450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451" t="s">
        <v>194</v>
      </c>
      <c r="B43" s="85" t="s">
        <v>118</v>
      </c>
      <c r="C43" s="85" t="s">
        <v>225</v>
      </c>
      <c r="D43" s="85"/>
      <c r="E43" s="106"/>
      <c r="F43" s="106"/>
      <c r="G43" s="106"/>
      <c r="H43" s="450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452" t="s">
        <v>253</v>
      </c>
      <c r="B44" s="161" t="s">
        <v>122</v>
      </c>
      <c r="C44" s="161" t="s">
        <v>119</v>
      </c>
      <c r="D44" s="156"/>
      <c r="E44" s="156"/>
      <c r="F44" s="156"/>
      <c r="G44" s="156"/>
      <c r="H44" s="442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404" t="s">
        <v>148</v>
      </c>
      <c r="B45" s="5"/>
      <c r="C45" s="5"/>
      <c r="D45" s="492" t="s">
        <v>149</v>
      </c>
      <c r="E45" s="5"/>
      <c r="F45" s="5"/>
      <c r="G45" s="5"/>
      <c r="H45" s="6"/>
      <c r="I45" s="24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ht="13.5" customHeight="1">
      <c r="A46" s="459" t="s">
        <v>548</v>
      </c>
      <c r="B46" s="460"/>
      <c r="C46" s="461"/>
      <c r="D46" s="118">
        <v>1.0</v>
      </c>
      <c r="E46" s="62" t="s">
        <v>151</v>
      </c>
      <c r="F46" s="62"/>
      <c r="G46" s="119"/>
      <c r="H46" s="120"/>
      <c r="I46" s="24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ht="13.5" customHeight="1">
      <c r="A47" s="116" t="s">
        <v>549</v>
      </c>
      <c r="B47" s="91"/>
      <c r="C47" s="165"/>
      <c r="D47" s="121">
        <v>0.5</v>
      </c>
      <c r="E47" s="122" t="s">
        <v>153</v>
      </c>
      <c r="F47" s="122"/>
      <c r="G47" s="123"/>
      <c r="H47" s="124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3.5" customHeight="1">
      <c r="A48" s="125" t="s">
        <v>550</v>
      </c>
      <c r="B48" s="23"/>
      <c r="C48" s="72"/>
      <c r="D48" s="121">
        <v>0.0</v>
      </c>
      <c r="E48" s="122" t="s">
        <v>155</v>
      </c>
      <c r="F48" s="122"/>
      <c r="G48" s="123"/>
      <c r="H48" s="124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3.5" customHeight="1">
      <c r="A49" s="127" t="s">
        <v>551</v>
      </c>
      <c r="B49" s="23"/>
      <c r="C49" s="72"/>
      <c r="D49" s="129"/>
      <c r="E49" s="65"/>
      <c r="F49" s="65"/>
      <c r="G49" s="130"/>
      <c r="H49" s="131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3.5" customHeight="1">
      <c r="A50" s="127" t="s">
        <v>552</v>
      </c>
      <c r="B50" s="23"/>
      <c r="C50" s="72"/>
      <c r="D50" s="71"/>
      <c r="E50" s="23"/>
      <c r="F50" s="23"/>
      <c r="G50" s="23"/>
      <c r="H50" s="72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3.5" customHeight="1">
      <c r="A51" s="127" t="s">
        <v>553</v>
      </c>
      <c r="B51" s="23"/>
      <c r="C51" s="72"/>
      <c r="D51" s="23"/>
      <c r="E51" s="23"/>
      <c r="F51" s="23"/>
      <c r="G51" s="23"/>
      <c r="H51" s="72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3.5" customHeight="1">
      <c r="A52" s="127" t="s">
        <v>554</v>
      </c>
      <c r="B52" s="23"/>
      <c r="C52" s="72"/>
      <c r="D52" s="23"/>
      <c r="E52" s="23"/>
      <c r="F52" s="23"/>
      <c r="G52" s="23"/>
      <c r="H52" s="72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3.5" customHeight="1">
      <c r="A53" s="127" t="s">
        <v>555</v>
      </c>
      <c r="B53" s="23"/>
      <c r="C53" s="72"/>
      <c r="D53" s="23"/>
      <c r="E53" s="23"/>
      <c r="F53" s="23"/>
      <c r="G53" s="23"/>
      <c r="H53" s="72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3.5" customHeight="1">
      <c r="A54" s="132" t="s">
        <v>161</v>
      </c>
      <c r="B54" s="23"/>
      <c r="C54" s="72"/>
      <c r="D54" s="23"/>
      <c r="E54" s="23"/>
      <c r="F54" s="23"/>
      <c r="G54" s="23"/>
      <c r="H54" s="72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3.5" customHeight="1">
      <c r="A55" s="125" t="s">
        <v>556</v>
      </c>
      <c r="B55" s="134" t="s">
        <v>163</v>
      </c>
      <c r="C55" s="72"/>
      <c r="D55" s="23"/>
      <c r="E55" s="23"/>
      <c r="F55" s="23"/>
      <c r="G55" s="23"/>
      <c r="H55" s="72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3.5" customHeight="1">
      <c r="A56" s="71" t="s">
        <v>164</v>
      </c>
      <c r="B56" s="135" t="s">
        <v>165</v>
      </c>
      <c r="C56" s="462"/>
      <c r="D56" s="23"/>
      <c r="E56" s="23"/>
      <c r="F56" s="23"/>
      <c r="G56" s="23"/>
      <c r="H56" s="72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3.5" customHeight="1">
      <c r="A57" s="71" t="s">
        <v>166</v>
      </c>
      <c r="B57" s="135" t="s">
        <v>167</v>
      </c>
      <c r="C57" s="462"/>
      <c r="D57" s="23"/>
      <c r="E57" s="23"/>
      <c r="F57" s="23"/>
      <c r="G57" s="23"/>
      <c r="H57" s="72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3.5" customHeight="1">
      <c r="A58" s="71" t="s">
        <v>168</v>
      </c>
      <c r="B58" s="135" t="s">
        <v>169</v>
      </c>
      <c r="C58" s="462"/>
      <c r="D58" s="23"/>
      <c r="E58" s="23"/>
      <c r="F58" s="23"/>
      <c r="G58" s="23"/>
      <c r="H58" s="72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3.5" customHeight="1">
      <c r="A59" s="71" t="s">
        <v>170</v>
      </c>
      <c r="B59" s="23" t="s">
        <v>171</v>
      </c>
      <c r="C59" s="72"/>
      <c r="D59" s="23"/>
      <c r="E59" s="23"/>
      <c r="F59" s="23"/>
      <c r="G59" s="23"/>
      <c r="H59" s="72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3.5" customHeight="1">
      <c r="A60" s="86" t="s">
        <v>172</v>
      </c>
      <c r="B60" s="87" t="s">
        <v>173</v>
      </c>
      <c r="C60" s="136"/>
      <c r="D60" s="87"/>
      <c r="E60" s="87"/>
      <c r="F60" s="87"/>
      <c r="G60" s="87"/>
      <c r="H60" s="136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3.5" customHeight="1">
      <c r="A61" s="456" t="s">
        <v>174</v>
      </c>
      <c r="B61" s="28"/>
      <c r="C61" s="28"/>
      <c r="D61" s="28"/>
      <c r="E61" s="28"/>
      <c r="F61" s="28"/>
      <c r="G61" s="28"/>
      <c r="H61" s="458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3.5" customHeight="1">
      <c r="A62" s="64" t="s">
        <v>175</v>
      </c>
      <c r="B62" s="65"/>
      <c r="C62" s="65"/>
      <c r="D62" s="65"/>
      <c r="E62" s="65"/>
      <c r="F62" s="65"/>
      <c r="G62" s="65"/>
      <c r="H62" s="67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3.5" customHeight="1">
      <c r="A63" s="64" t="s">
        <v>176</v>
      </c>
      <c r="B63" s="65"/>
      <c r="C63" s="65"/>
      <c r="D63" s="65"/>
      <c r="E63" s="65"/>
      <c r="F63" s="65"/>
      <c r="G63" s="65"/>
      <c r="H63" s="67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3.5" customHeight="1">
      <c r="A64" s="64" t="s">
        <v>177</v>
      </c>
      <c r="B64" s="65"/>
      <c r="C64" s="65"/>
      <c r="D64" s="65"/>
      <c r="E64" s="65"/>
      <c r="F64" s="65"/>
      <c r="G64" s="65"/>
      <c r="H64" s="67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3.5" customHeight="1">
      <c r="A65" s="64" t="s">
        <v>557</v>
      </c>
      <c r="B65" s="65"/>
      <c r="C65" s="65"/>
      <c r="D65" s="65"/>
      <c r="E65" s="65"/>
      <c r="F65" s="65"/>
      <c r="G65" s="65"/>
      <c r="H65" s="67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0" customHeight="1">
      <c r="A66" s="60" t="s">
        <v>179</v>
      </c>
      <c r="H66" s="61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3.5" customHeight="1">
      <c r="A67" s="137" t="s">
        <v>180</v>
      </c>
      <c r="H67" s="61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3.5" customHeight="1">
      <c r="A68" s="138" t="s">
        <v>181</v>
      </c>
      <c r="B68" s="65"/>
      <c r="C68" s="65"/>
      <c r="D68" s="65"/>
      <c r="E68" s="65"/>
      <c r="F68" s="65"/>
      <c r="G68" s="65"/>
      <c r="H68" s="67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3.5" customHeight="1">
      <c r="A69" s="64" t="s">
        <v>182</v>
      </c>
      <c r="B69" s="65"/>
      <c r="C69" s="65"/>
      <c r="D69" s="65"/>
      <c r="E69" s="65"/>
      <c r="F69" s="65"/>
      <c r="G69" s="65"/>
      <c r="H69" s="67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26.25" customHeight="1">
      <c r="A70" s="78" t="s">
        <v>558</v>
      </c>
      <c r="B70" s="45"/>
      <c r="C70" s="45"/>
      <c r="D70" s="45"/>
      <c r="E70" s="45"/>
      <c r="F70" s="45"/>
      <c r="G70" s="45"/>
      <c r="H70" s="46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3.5" customHeight="1">
      <c r="A71" s="23"/>
      <c r="B71" s="23"/>
      <c r="C71" s="23"/>
      <c r="D71" s="23"/>
      <c r="E71" s="23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4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4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4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4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D6:E7"/>
    <mergeCell ref="F6:G6"/>
    <mergeCell ref="F7:G7"/>
    <mergeCell ref="A2:D2"/>
    <mergeCell ref="A3:D3"/>
    <mergeCell ref="A4:A5"/>
    <mergeCell ref="B4:B5"/>
    <mergeCell ref="C4:C5"/>
    <mergeCell ref="D4:H4"/>
    <mergeCell ref="A6:A7"/>
    <mergeCell ref="H6:H7"/>
    <mergeCell ref="B6:B7"/>
    <mergeCell ref="C6:C7"/>
    <mergeCell ref="A10:A11"/>
    <mergeCell ref="A15:A16"/>
    <mergeCell ref="A17:H17"/>
    <mergeCell ref="A20:A21"/>
    <mergeCell ref="A22:H22"/>
    <mergeCell ref="A45:C45"/>
    <mergeCell ref="D45:H45"/>
    <mergeCell ref="A61:H61"/>
    <mergeCell ref="A66:H66"/>
    <mergeCell ref="A67:H67"/>
    <mergeCell ref="A70:H70"/>
    <mergeCell ref="A23:B23"/>
    <mergeCell ref="C23:H23"/>
    <mergeCell ref="A24:B24"/>
    <mergeCell ref="A27:B27"/>
    <mergeCell ref="A28:B28"/>
    <mergeCell ref="A29:B29"/>
    <mergeCell ref="A39:H39"/>
  </mergeCells>
  <printOptions/>
  <pageMargins bottom="0.0" footer="0.0" header="0.0" left="0.1968503937007874" right="0.0" top="0.1968503937007874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FF"/>
    <pageSetUpPr fitToPage="1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59.43"/>
    <col customWidth="1" min="3" max="3" width="24.71"/>
    <col customWidth="1" min="4" max="4" width="11.29"/>
    <col customWidth="1" min="5" max="5" width="10.43"/>
    <col customWidth="1" min="6" max="7" width="12.29"/>
    <col customWidth="1" min="8" max="8" width="7.71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559</v>
      </c>
      <c r="B2" s="26"/>
      <c r="C2" s="26"/>
      <c r="D2" s="391"/>
      <c r="E2" s="391"/>
      <c r="F2" s="402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410</v>
      </c>
      <c r="B3" s="28"/>
      <c r="C3" s="28"/>
      <c r="D3" s="29" t="s">
        <v>72</v>
      </c>
      <c r="E3" s="533"/>
      <c r="F3" s="29"/>
      <c r="G3" s="23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2"/>
      <c r="B5" s="32"/>
      <c r="C5" s="32"/>
      <c r="D5" s="405" t="s">
        <v>76</v>
      </c>
      <c r="E5" s="534" t="s">
        <v>77</v>
      </c>
      <c r="F5" s="534" t="s">
        <v>78</v>
      </c>
      <c r="G5" s="534" t="s">
        <v>79</v>
      </c>
      <c r="H5" s="534" t="s">
        <v>80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535"/>
      <c r="B6" s="536"/>
      <c r="C6" s="141"/>
      <c r="D6" s="40" t="s">
        <v>82</v>
      </c>
      <c r="E6" s="39"/>
      <c r="F6" s="41" t="s">
        <v>83</v>
      </c>
      <c r="G6" s="26"/>
      <c r="H6" s="142" t="s">
        <v>186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4.25" customHeight="1">
      <c r="A7" s="537" t="s">
        <v>560</v>
      </c>
      <c r="B7" s="538"/>
      <c r="C7" s="539"/>
      <c r="D7" s="465"/>
      <c r="E7" s="61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540" t="s">
        <v>355</v>
      </c>
      <c r="B8" s="496" t="s">
        <v>356</v>
      </c>
      <c r="C8" s="541" t="s">
        <v>561</v>
      </c>
      <c r="D8" s="542">
        <v>3680.0</v>
      </c>
      <c r="E8" s="541">
        <v>3680.0</v>
      </c>
      <c r="F8" s="53">
        <f t="shared" ref="F8:F11" si="1">D8-(D8*0.2)</f>
        <v>2944</v>
      </c>
      <c r="G8" s="53">
        <f t="shared" ref="G8:G11" si="2">E8-(E8*0.3)</f>
        <v>2576</v>
      </c>
      <c r="H8" s="543">
        <v>500.0</v>
      </c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544" t="s">
        <v>562</v>
      </c>
      <c r="B9" s="545" t="s">
        <v>563</v>
      </c>
      <c r="C9" s="541" t="s">
        <v>564</v>
      </c>
      <c r="D9" s="542">
        <v>3550.0</v>
      </c>
      <c r="E9" s="541">
        <v>3550.0</v>
      </c>
      <c r="F9" s="53">
        <f t="shared" si="1"/>
        <v>2840</v>
      </c>
      <c r="G9" s="53">
        <f t="shared" si="2"/>
        <v>2485</v>
      </c>
      <c r="H9" s="543">
        <v>500.0</v>
      </c>
      <c r="I9" s="5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415"/>
      <c r="B10" s="545"/>
      <c r="C10" s="541" t="s">
        <v>363</v>
      </c>
      <c r="D10" s="542">
        <v>3850.0</v>
      </c>
      <c r="E10" s="541">
        <v>3850.0</v>
      </c>
      <c r="F10" s="53">
        <f t="shared" si="1"/>
        <v>3080</v>
      </c>
      <c r="G10" s="53">
        <f t="shared" si="2"/>
        <v>2695</v>
      </c>
      <c r="H10" s="543">
        <v>500.0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495"/>
      <c r="B11" s="545"/>
      <c r="C11" s="418" t="s">
        <v>364</v>
      </c>
      <c r="D11" s="497">
        <v>4580.0</v>
      </c>
      <c r="E11" s="53">
        <f>SUM(D11)</f>
        <v>4580</v>
      </c>
      <c r="F11" s="53">
        <f t="shared" si="1"/>
        <v>3664</v>
      </c>
      <c r="G11" s="53">
        <f t="shared" si="2"/>
        <v>3206</v>
      </c>
      <c r="H11" s="498">
        <v>500.0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4.5" customHeight="1">
      <c r="A12" s="546"/>
      <c r="B12" s="547"/>
      <c r="C12" s="548"/>
      <c r="D12" s="549"/>
      <c r="E12" s="550"/>
      <c r="F12" s="551"/>
      <c r="G12" s="551"/>
      <c r="H12" s="552"/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553" t="s">
        <v>565</v>
      </c>
      <c r="B13" s="554"/>
      <c r="C13" s="541" t="s">
        <v>561</v>
      </c>
      <c r="D13" s="542">
        <v>4600.0</v>
      </c>
      <c r="E13" s="541">
        <v>4600.0</v>
      </c>
      <c r="F13" s="53">
        <f t="shared" ref="F13:F16" si="3">D13-(D13*0.2)</f>
        <v>3680</v>
      </c>
      <c r="G13" s="53">
        <f t="shared" ref="G13:G16" si="4">E13-(E13*0.3)</f>
        <v>3220</v>
      </c>
      <c r="H13" s="53">
        <v>500.0</v>
      </c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423" t="s">
        <v>355</v>
      </c>
      <c r="B14" s="496" t="s">
        <v>356</v>
      </c>
      <c r="C14" s="541" t="s">
        <v>564</v>
      </c>
      <c r="D14" s="555">
        <v>4380.0</v>
      </c>
      <c r="E14" s="556">
        <v>4380.0</v>
      </c>
      <c r="F14" s="53">
        <f t="shared" si="3"/>
        <v>3504</v>
      </c>
      <c r="G14" s="53">
        <f t="shared" si="4"/>
        <v>3066</v>
      </c>
      <c r="H14" s="557">
        <v>500.0</v>
      </c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558" t="s">
        <v>566</v>
      </c>
      <c r="B15" s="545" t="s">
        <v>563</v>
      </c>
      <c r="C15" s="541" t="s">
        <v>363</v>
      </c>
      <c r="D15" s="542">
        <v>4850.0</v>
      </c>
      <c r="E15" s="541">
        <v>4850.0</v>
      </c>
      <c r="F15" s="53">
        <f t="shared" si="3"/>
        <v>3880</v>
      </c>
      <c r="G15" s="53">
        <f t="shared" si="4"/>
        <v>3395</v>
      </c>
      <c r="H15" s="543">
        <v>500.0</v>
      </c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495"/>
      <c r="B16" s="545"/>
      <c r="C16" s="418" t="s">
        <v>364</v>
      </c>
      <c r="D16" s="497">
        <v>5800.0</v>
      </c>
      <c r="E16" s="53">
        <f>SUM(D16)</f>
        <v>5800</v>
      </c>
      <c r="F16" s="53">
        <f t="shared" si="3"/>
        <v>4640</v>
      </c>
      <c r="G16" s="53">
        <f t="shared" si="4"/>
        <v>4060</v>
      </c>
      <c r="H16" s="498">
        <v>500.0</v>
      </c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4.5" customHeight="1">
      <c r="A17" s="559"/>
      <c r="B17" s="560"/>
      <c r="C17" s="561"/>
      <c r="D17" s="562"/>
      <c r="E17" s="563"/>
      <c r="F17" s="564"/>
      <c r="G17" s="564"/>
      <c r="H17" s="565"/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6.5" customHeight="1">
      <c r="A18" s="553" t="s">
        <v>567</v>
      </c>
      <c r="B18" s="554"/>
      <c r="C18" s="541" t="s">
        <v>561</v>
      </c>
      <c r="D18" s="542">
        <v>5450.0</v>
      </c>
      <c r="E18" s="541">
        <v>5450.0</v>
      </c>
      <c r="F18" s="53">
        <f t="shared" ref="F18:F21" si="5">D18-(D18*0.2)</f>
        <v>4360</v>
      </c>
      <c r="G18" s="53">
        <f t="shared" ref="G18:G21" si="6">E18-(E18*0.3)</f>
        <v>3815</v>
      </c>
      <c r="H18" s="53">
        <v>500.0</v>
      </c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6.5" customHeight="1">
      <c r="A19" s="522" t="s">
        <v>355</v>
      </c>
      <c r="B19" s="496" t="s">
        <v>356</v>
      </c>
      <c r="C19" s="541" t="s">
        <v>564</v>
      </c>
      <c r="D19" s="555">
        <v>4700.0</v>
      </c>
      <c r="E19" s="556">
        <v>4700.0</v>
      </c>
      <c r="F19" s="53">
        <f t="shared" si="5"/>
        <v>3760</v>
      </c>
      <c r="G19" s="53">
        <f t="shared" si="6"/>
        <v>3290</v>
      </c>
      <c r="H19" s="557">
        <v>500.0</v>
      </c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566" t="s">
        <v>568</v>
      </c>
      <c r="B20" s="545" t="s">
        <v>563</v>
      </c>
      <c r="C20" s="541" t="s">
        <v>363</v>
      </c>
      <c r="D20" s="542">
        <v>5650.0</v>
      </c>
      <c r="E20" s="541">
        <v>5650.0</v>
      </c>
      <c r="F20" s="53">
        <f t="shared" si="5"/>
        <v>4520</v>
      </c>
      <c r="G20" s="53">
        <f t="shared" si="6"/>
        <v>3955</v>
      </c>
      <c r="H20" s="543">
        <v>500.0</v>
      </c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567"/>
      <c r="B21" s="545"/>
      <c r="C21" s="418" t="s">
        <v>364</v>
      </c>
      <c r="D21" s="497">
        <v>6750.0</v>
      </c>
      <c r="E21" s="53">
        <f>SUM(D21)</f>
        <v>6750</v>
      </c>
      <c r="F21" s="53">
        <f t="shared" si="5"/>
        <v>5400</v>
      </c>
      <c r="G21" s="53">
        <f t="shared" si="6"/>
        <v>4725</v>
      </c>
      <c r="H21" s="498">
        <v>500.0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4.0" customHeight="1">
      <c r="A22" s="568" t="s">
        <v>373</v>
      </c>
      <c r="B22" s="485"/>
      <c r="C22" s="485"/>
      <c r="D22" s="485"/>
      <c r="E22" s="485"/>
      <c r="F22" s="485"/>
      <c r="G22" s="485"/>
      <c r="H22" s="569"/>
      <c r="I22" s="434"/>
      <c r="J22" s="24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6.5" customHeight="1">
      <c r="A23" s="443" t="s">
        <v>96</v>
      </c>
      <c r="B23" s="90"/>
      <c r="C23" s="570" t="s">
        <v>97</v>
      </c>
      <c r="D23" s="571"/>
      <c r="E23" s="571"/>
      <c r="F23" s="571"/>
      <c r="G23" s="571"/>
      <c r="H23" s="572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2.0" customHeight="1">
      <c r="A24" s="152" t="s">
        <v>98</v>
      </c>
      <c r="B24" s="39"/>
      <c r="C24" s="62" t="s">
        <v>99</v>
      </c>
      <c r="D24" s="62"/>
      <c r="E24" s="62"/>
      <c r="F24" s="62"/>
      <c r="G24" s="62"/>
      <c r="H24" s="6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2.0" customHeight="1">
      <c r="A25" s="64" t="s">
        <v>191</v>
      </c>
      <c r="B25" s="66"/>
      <c r="C25" s="65" t="s">
        <v>101</v>
      </c>
      <c r="D25" s="65"/>
      <c r="E25" s="65"/>
      <c r="F25" s="65"/>
      <c r="G25" s="65"/>
      <c r="H25" s="67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2.0" customHeight="1">
      <c r="A26" s="436" t="s">
        <v>417</v>
      </c>
      <c r="B26" s="66"/>
      <c r="C26" s="68" t="s">
        <v>518</v>
      </c>
      <c r="D26" s="65"/>
      <c r="E26" s="65"/>
      <c r="F26" s="65"/>
      <c r="G26" s="65"/>
      <c r="H26" s="67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2.0" customHeight="1">
      <c r="A27" s="60" t="s">
        <v>569</v>
      </c>
      <c r="B27" s="61"/>
      <c r="C27" s="68" t="s">
        <v>105</v>
      </c>
      <c r="D27" s="65"/>
      <c r="E27" s="65"/>
      <c r="F27" s="65"/>
      <c r="G27" s="65"/>
      <c r="H27" s="67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2.0" customHeight="1">
      <c r="A28" s="69" t="s">
        <v>104</v>
      </c>
      <c r="B28" s="61"/>
      <c r="C28" s="68" t="s">
        <v>107</v>
      </c>
      <c r="D28" s="65"/>
      <c r="E28" s="65"/>
      <c r="F28" s="65"/>
      <c r="G28" s="65"/>
      <c r="H28" s="67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2.0" customHeight="1">
      <c r="A29" s="69" t="s">
        <v>106</v>
      </c>
      <c r="B29" s="61"/>
      <c r="C29" s="73" t="s">
        <v>377</v>
      </c>
      <c r="D29" s="74"/>
      <c r="E29" s="74"/>
      <c r="F29" s="74"/>
      <c r="G29" s="74"/>
      <c r="H29" s="75"/>
      <c r="I29" s="24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2.0" customHeight="1">
      <c r="A30" s="573" t="s">
        <v>570</v>
      </c>
      <c r="B30" s="77"/>
      <c r="C30" s="68"/>
      <c r="D30" s="65"/>
      <c r="E30" s="65"/>
      <c r="F30" s="65"/>
      <c r="G30" s="65"/>
      <c r="H30" s="67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2.0" customHeight="1">
      <c r="A31" s="71" t="s">
        <v>571</v>
      </c>
      <c r="B31" s="72"/>
      <c r="C31" s="574"/>
      <c r="D31" s="65"/>
      <c r="E31" s="65"/>
      <c r="F31" s="65"/>
      <c r="G31" s="65"/>
      <c r="H31" s="67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2.0" customHeight="1">
      <c r="A32" s="71" t="s">
        <v>216</v>
      </c>
      <c r="B32" s="72"/>
      <c r="C32" s="71"/>
      <c r="D32" s="85"/>
      <c r="E32" s="65"/>
      <c r="F32" s="65"/>
      <c r="G32" s="65"/>
      <c r="H32" s="67"/>
      <c r="I32" s="24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71" t="s">
        <v>572</v>
      </c>
      <c r="B33" s="72"/>
      <c r="C33" s="530" t="s">
        <v>384</v>
      </c>
      <c r="D33" s="531"/>
      <c r="E33" s="531"/>
      <c r="F33" s="531"/>
      <c r="G33" s="531"/>
      <c r="H33" s="532"/>
      <c r="I33" s="24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0" customHeight="1">
      <c r="A34" s="71" t="s">
        <v>573</v>
      </c>
      <c r="B34" s="72"/>
      <c r="C34" s="81" t="s">
        <v>386</v>
      </c>
      <c r="D34" s="62"/>
      <c r="E34" s="62"/>
      <c r="F34" s="62" t="s">
        <v>574</v>
      </c>
      <c r="G34" s="62"/>
      <c r="H34" s="6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0" customHeight="1">
      <c r="A35" s="71" t="s">
        <v>575</v>
      </c>
      <c r="B35" s="72"/>
      <c r="C35" s="155"/>
      <c r="D35" s="156"/>
      <c r="E35" s="156"/>
      <c r="F35" s="156"/>
      <c r="G35" s="156"/>
      <c r="H35" s="442"/>
      <c r="I35" s="24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0" customHeight="1">
      <c r="A36" s="71" t="s">
        <v>385</v>
      </c>
      <c r="B36" s="72"/>
      <c r="C36" s="575" t="s">
        <v>576</v>
      </c>
      <c r="D36" s="514"/>
      <c r="E36" s="514"/>
      <c r="F36" s="514" t="s">
        <v>577</v>
      </c>
      <c r="G36" s="65"/>
      <c r="H36" s="67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0" customHeight="1">
      <c r="A37" s="71" t="s">
        <v>388</v>
      </c>
      <c r="B37" s="72"/>
      <c r="C37" s="23"/>
      <c r="D37" s="65"/>
      <c r="E37" s="65"/>
      <c r="F37" s="65"/>
      <c r="G37" s="65"/>
      <c r="H37" s="67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0" customHeight="1">
      <c r="A38" s="64"/>
      <c r="B38" s="72"/>
      <c r="C38" s="23"/>
      <c r="D38" s="106"/>
      <c r="E38" s="106"/>
      <c r="F38" s="106"/>
      <c r="G38" s="106"/>
      <c r="H38" s="450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443" t="s">
        <v>393</v>
      </c>
      <c r="B39" s="89"/>
      <c r="C39" s="89"/>
      <c r="D39" s="89"/>
      <c r="E39" s="89"/>
      <c r="F39" s="89"/>
      <c r="G39" s="89"/>
      <c r="H39" s="90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71" t="s">
        <v>114</v>
      </c>
      <c r="B40" s="23" t="s">
        <v>115</v>
      </c>
      <c r="C40" s="85" t="s">
        <v>137</v>
      </c>
      <c r="D40" s="85"/>
      <c r="E40" s="106"/>
      <c r="F40" s="106"/>
      <c r="G40" s="106"/>
      <c r="H40" s="450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69" t="s">
        <v>117</v>
      </c>
      <c r="B41" s="85" t="s">
        <v>224</v>
      </c>
      <c r="C41" s="85" t="s">
        <v>225</v>
      </c>
      <c r="D41" s="85"/>
      <c r="E41" s="106"/>
      <c r="F41" s="106"/>
      <c r="G41" s="106"/>
      <c r="H41" s="450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69" t="s">
        <v>121</v>
      </c>
      <c r="B42" s="85" t="s">
        <v>578</v>
      </c>
      <c r="C42" s="85" t="s">
        <v>225</v>
      </c>
      <c r="D42" s="85"/>
      <c r="E42" s="106"/>
      <c r="F42" s="106"/>
      <c r="G42" s="106"/>
      <c r="H42" s="450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69" t="s">
        <v>194</v>
      </c>
      <c r="B43" s="85" t="s">
        <v>122</v>
      </c>
      <c r="C43" s="85" t="s">
        <v>119</v>
      </c>
      <c r="D43" s="85"/>
      <c r="E43" s="106"/>
      <c r="F43" s="106"/>
      <c r="G43" s="106"/>
      <c r="H43" s="450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3.5" customHeight="1">
      <c r="A44" s="404" t="s">
        <v>148</v>
      </c>
      <c r="B44" s="5"/>
      <c r="C44" s="576" t="s">
        <v>149</v>
      </c>
      <c r="D44" s="89"/>
      <c r="E44" s="89"/>
      <c r="F44" s="89"/>
      <c r="G44" s="89"/>
      <c r="H44" s="90"/>
      <c r="I44" s="24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ht="13.5" customHeight="1">
      <c r="A45" s="116" t="s">
        <v>579</v>
      </c>
      <c r="B45" s="91"/>
      <c r="C45" s="121">
        <v>1.0</v>
      </c>
      <c r="D45" s="122" t="s">
        <v>151</v>
      </c>
      <c r="E45" s="122"/>
      <c r="F45" s="123"/>
      <c r="G45" s="123"/>
      <c r="H45" s="124"/>
      <c r="I45" s="24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ht="13.5" customHeight="1">
      <c r="A46" s="116" t="s">
        <v>580</v>
      </c>
      <c r="B46" s="91"/>
      <c r="C46" s="577">
        <v>0.5</v>
      </c>
      <c r="D46" s="65" t="s">
        <v>153</v>
      </c>
      <c r="E46" s="65"/>
      <c r="F46" s="130"/>
      <c r="G46" s="130"/>
      <c r="H46" s="131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3.5" customHeight="1">
      <c r="A47" s="125" t="s">
        <v>581</v>
      </c>
      <c r="B47" s="23"/>
      <c r="C47" s="121">
        <v>0.0</v>
      </c>
      <c r="D47" s="122" t="s">
        <v>155</v>
      </c>
      <c r="E47" s="122"/>
      <c r="F47" s="123"/>
      <c r="G47" s="123"/>
      <c r="H47" s="124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3.5" customHeight="1">
      <c r="A48" s="127" t="s">
        <v>582</v>
      </c>
      <c r="B48" s="23"/>
      <c r="C48" s="71"/>
      <c r="D48" s="23"/>
      <c r="E48" s="376"/>
      <c r="F48" s="65"/>
      <c r="G48" s="65"/>
      <c r="H48" s="131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3.5" customHeight="1">
      <c r="A49" s="127" t="s">
        <v>583</v>
      </c>
      <c r="B49" s="23"/>
      <c r="C49" s="71"/>
      <c r="D49" s="23"/>
      <c r="E49" s="23"/>
      <c r="F49" s="23"/>
      <c r="G49" s="23"/>
      <c r="H49" s="72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3.5" customHeight="1">
      <c r="A50" s="127" t="s">
        <v>584</v>
      </c>
      <c r="B50" s="23"/>
      <c r="C50" s="71"/>
      <c r="D50" s="23"/>
      <c r="E50" s="23"/>
      <c r="F50" s="23"/>
      <c r="G50" s="23"/>
      <c r="H50" s="72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3.5" customHeight="1">
      <c r="A51" s="127" t="s">
        <v>585</v>
      </c>
      <c r="B51" s="23"/>
      <c r="C51" s="71"/>
      <c r="D51" s="23"/>
      <c r="E51" s="23"/>
      <c r="F51" s="23"/>
      <c r="G51" s="23"/>
      <c r="H51" s="72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3.5" customHeight="1">
      <c r="A52" s="127" t="s">
        <v>586</v>
      </c>
      <c r="B52" s="23"/>
      <c r="C52" s="71"/>
      <c r="D52" s="23"/>
      <c r="E52" s="23"/>
      <c r="F52" s="23"/>
      <c r="G52" s="23"/>
      <c r="H52" s="72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3.5" customHeight="1">
      <c r="A53" s="132" t="s">
        <v>161</v>
      </c>
      <c r="B53" s="134" t="s">
        <v>163</v>
      </c>
      <c r="C53" s="71"/>
      <c r="D53" s="23"/>
      <c r="E53" s="23"/>
      <c r="F53" s="23"/>
      <c r="G53" s="23"/>
      <c r="H53" s="72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3.5" customHeight="1">
      <c r="A54" s="125" t="s">
        <v>587</v>
      </c>
      <c r="B54" s="23"/>
      <c r="C54" s="71"/>
      <c r="D54" s="23"/>
      <c r="E54" s="23"/>
      <c r="F54" s="23"/>
      <c r="G54" s="23"/>
      <c r="H54" s="72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3.5" customHeight="1">
      <c r="A55" s="71" t="s">
        <v>164</v>
      </c>
      <c r="B55" s="135" t="s">
        <v>165</v>
      </c>
      <c r="C55" s="578"/>
      <c r="D55" s="23"/>
      <c r="E55" s="23"/>
      <c r="F55" s="23"/>
      <c r="G55" s="23"/>
      <c r="H55" s="72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3.5" customHeight="1">
      <c r="A56" s="71" t="s">
        <v>166</v>
      </c>
      <c r="B56" s="135" t="s">
        <v>167</v>
      </c>
      <c r="C56" s="578"/>
      <c r="D56" s="23"/>
      <c r="E56" s="23"/>
      <c r="F56" s="23"/>
      <c r="G56" s="23"/>
      <c r="H56" s="72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3.5" customHeight="1">
      <c r="A57" s="71" t="s">
        <v>168</v>
      </c>
      <c r="B57" s="135" t="s">
        <v>169</v>
      </c>
      <c r="C57" s="578"/>
      <c r="D57" s="23"/>
      <c r="E57" s="23"/>
      <c r="F57" s="23"/>
      <c r="G57" s="23"/>
      <c r="H57" s="72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3.5" customHeight="1">
      <c r="A58" s="71" t="s">
        <v>170</v>
      </c>
      <c r="B58" s="23" t="s">
        <v>171</v>
      </c>
      <c r="C58" s="71"/>
      <c r="D58" s="23"/>
      <c r="E58" s="23"/>
      <c r="F58" s="23"/>
      <c r="G58" s="23"/>
      <c r="H58" s="72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3.5" customHeight="1">
      <c r="A59" s="86" t="s">
        <v>172</v>
      </c>
      <c r="B59" s="87" t="s">
        <v>173</v>
      </c>
      <c r="C59" s="86"/>
      <c r="D59" s="87"/>
      <c r="E59" s="87"/>
      <c r="F59" s="87"/>
      <c r="G59" s="87"/>
      <c r="H59" s="136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3.5" customHeight="1">
      <c r="A60" s="404" t="s">
        <v>174</v>
      </c>
      <c r="B60" s="5"/>
      <c r="C60" s="5"/>
      <c r="D60" s="5"/>
      <c r="E60" s="5"/>
      <c r="F60" s="5"/>
      <c r="G60" s="5"/>
      <c r="H60" s="6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64" t="s">
        <v>175</v>
      </c>
      <c r="B61" s="65"/>
      <c r="C61" s="65"/>
      <c r="D61" s="65"/>
      <c r="E61" s="65"/>
      <c r="F61" s="65"/>
      <c r="G61" s="65"/>
      <c r="H61" s="67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64" t="s">
        <v>176</v>
      </c>
      <c r="B62" s="65"/>
      <c r="C62" s="65"/>
      <c r="D62" s="65"/>
      <c r="E62" s="65"/>
      <c r="F62" s="65"/>
      <c r="G62" s="65"/>
      <c r="H62" s="67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64" t="s">
        <v>177</v>
      </c>
      <c r="B63" s="65"/>
      <c r="C63" s="65"/>
      <c r="D63" s="65"/>
      <c r="E63" s="65"/>
      <c r="F63" s="65"/>
      <c r="G63" s="65"/>
      <c r="H63" s="67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2.75" customHeight="1">
      <c r="A64" s="64" t="s">
        <v>588</v>
      </c>
      <c r="B64" s="65"/>
      <c r="C64" s="65"/>
      <c r="D64" s="65"/>
      <c r="E64" s="65"/>
      <c r="F64" s="65"/>
      <c r="G64" s="65"/>
      <c r="H64" s="67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60" t="s">
        <v>179</v>
      </c>
      <c r="H65" s="61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137" t="s">
        <v>180</v>
      </c>
      <c r="H66" s="61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2.75" customHeight="1">
      <c r="A67" s="138" t="s">
        <v>181</v>
      </c>
      <c r="B67" s="65"/>
      <c r="C67" s="65"/>
      <c r="D67" s="65"/>
      <c r="E67" s="65"/>
      <c r="F67" s="65"/>
      <c r="G67" s="65"/>
      <c r="H67" s="67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64" t="s">
        <v>182</v>
      </c>
      <c r="B68" s="65"/>
      <c r="C68" s="65"/>
      <c r="D68" s="65"/>
      <c r="E68" s="65"/>
      <c r="F68" s="65"/>
      <c r="G68" s="65"/>
      <c r="H68" s="67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78" t="s">
        <v>589</v>
      </c>
      <c r="B69" s="45"/>
      <c r="C69" s="45"/>
      <c r="D69" s="45"/>
      <c r="E69" s="45"/>
      <c r="F69" s="45"/>
      <c r="G69" s="45"/>
      <c r="H69" s="46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2.75" customHeight="1">
      <c r="A70" s="23"/>
      <c r="B70" s="23"/>
      <c r="C70" s="23"/>
      <c r="D70" s="23"/>
      <c r="E70" s="23"/>
      <c r="F70" s="23"/>
      <c r="G70" s="23"/>
      <c r="H70" s="23"/>
      <c r="I70" s="24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3.5" customHeight="1">
      <c r="A71" s="23"/>
      <c r="B71" s="23"/>
      <c r="C71" s="23"/>
      <c r="D71" s="23"/>
      <c r="E71" s="23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4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4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4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4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F6:G6"/>
    <mergeCell ref="H6:H7"/>
    <mergeCell ref="F7:G7"/>
    <mergeCell ref="A2:C2"/>
    <mergeCell ref="A3:C3"/>
    <mergeCell ref="A4:A5"/>
    <mergeCell ref="B4:B5"/>
    <mergeCell ref="C4:C5"/>
    <mergeCell ref="D4:H4"/>
    <mergeCell ref="D6:E7"/>
    <mergeCell ref="A9:A11"/>
    <mergeCell ref="A15:A16"/>
    <mergeCell ref="A20:A21"/>
    <mergeCell ref="A22:H22"/>
    <mergeCell ref="A23:B23"/>
    <mergeCell ref="C23:H23"/>
    <mergeCell ref="A24:B24"/>
    <mergeCell ref="A65:H65"/>
    <mergeCell ref="A66:H66"/>
    <mergeCell ref="A69:H69"/>
    <mergeCell ref="A27:B27"/>
    <mergeCell ref="A28:B28"/>
    <mergeCell ref="A29:B29"/>
    <mergeCell ref="A39:H39"/>
    <mergeCell ref="A44:B44"/>
    <mergeCell ref="C44:H44"/>
    <mergeCell ref="A60:H60"/>
  </mergeCells>
  <printOptions/>
  <pageMargins bottom="0.0" footer="0.0" header="0.0" left="0.11811023622047245" right="0.0" top="0.1968503937007874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FF"/>
    <pageSetUpPr fitToPage="1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59.71"/>
    <col customWidth="1" min="3" max="3" width="24.71"/>
    <col customWidth="1" min="4" max="4" width="11.29"/>
    <col customWidth="1" min="5" max="5" width="10.43"/>
    <col customWidth="1" min="6" max="7" width="12.29"/>
    <col customWidth="1" min="8" max="8" width="7.71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590</v>
      </c>
      <c r="B2" s="26"/>
      <c r="C2" s="26"/>
      <c r="D2" s="391"/>
      <c r="E2" s="391"/>
      <c r="F2" s="402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410</v>
      </c>
      <c r="B3" s="28"/>
      <c r="C3" s="28"/>
      <c r="D3" s="29" t="s">
        <v>72</v>
      </c>
      <c r="E3" s="533"/>
      <c r="F3" s="29"/>
      <c r="G3" s="23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2"/>
      <c r="B5" s="32"/>
      <c r="C5" s="32"/>
      <c r="D5" s="405" t="s">
        <v>76</v>
      </c>
      <c r="E5" s="534" t="s">
        <v>77</v>
      </c>
      <c r="F5" s="534" t="s">
        <v>78</v>
      </c>
      <c r="G5" s="534" t="s">
        <v>79</v>
      </c>
      <c r="H5" s="534" t="s">
        <v>80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535"/>
      <c r="B6" s="536"/>
      <c r="C6" s="141"/>
      <c r="D6" s="40" t="s">
        <v>82</v>
      </c>
      <c r="E6" s="39"/>
      <c r="F6" s="41" t="s">
        <v>83</v>
      </c>
      <c r="G6" s="26"/>
      <c r="H6" s="142" t="s">
        <v>186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4.25" customHeight="1">
      <c r="A7" s="537" t="s">
        <v>591</v>
      </c>
      <c r="B7" s="538"/>
      <c r="C7" s="539"/>
      <c r="D7" s="465"/>
      <c r="E7" s="61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540" t="s">
        <v>355</v>
      </c>
      <c r="B8" s="496" t="s">
        <v>356</v>
      </c>
      <c r="C8" s="541" t="s">
        <v>561</v>
      </c>
      <c r="D8" s="542">
        <v>4650.0</v>
      </c>
      <c r="E8" s="541">
        <v>4650.0</v>
      </c>
      <c r="F8" s="53">
        <f t="shared" ref="F8:F11" si="1">D8-(D8*0.2)</f>
        <v>3720</v>
      </c>
      <c r="G8" s="53">
        <f t="shared" ref="G8:G11" si="2">E8-(E8*0.3)</f>
        <v>3255</v>
      </c>
      <c r="H8" s="543">
        <v>500.0</v>
      </c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544" t="s">
        <v>562</v>
      </c>
      <c r="B9" s="545" t="s">
        <v>592</v>
      </c>
      <c r="C9" s="541" t="s">
        <v>564</v>
      </c>
      <c r="D9" s="542">
        <v>4350.0</v>
      </c>
      <c r="E9" s="541">
        <v>4350.0</v>
      </c>
      <c r="F9" s="53">
        <f t="shared" si="1"/>
        <v>3480</v>
      </c>
      <c r="G9" s="53">
        <f t="shared" si="2"/>
        <v>3045</v>
      </c>
      <c r="H9" s="543">
        <v>500.0</v>
      </c>
      <c r="I9" s="5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415"/>
      <c r="B10" s="545"/>
      <c r="C10" s="541" t="s">
        <v>363</v>
      </c>
      <c r="D10" s="542">
        <v>4750.0</v>
      </c>
      <c r="E10" s="541">
        <v>4750.0</v>
      </c>
      <c r="F10" s="53">
        <f t="shared" si="1"/>
        <v>3800</v>
      </c>
      <c r="G10" s="53">
        <f t="shared" si="2"/>
        <v>3325</v>
      </c>
      <c r="H10" s="543">
        <v>500.0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495"/>
      <c r="B11" s="545"/>
      <c r="C11" s="418" t="s">
        <v>364</v>
      </c>
      <c r="D11" s="497">
        <v>5700.0</v>
      </c>
      <c r="E11" s="53">
        <f>SUM(D11)</f>
        <v>5700</v>
      </c>
      <c r="F11" s="53">
        <f t="shared" si="1"/>
        <v>4560</v>
      </c>
      <c r="G11" s="53">
        <f t="shared" si="2"/>
        <v>3990</v>
      </c>
      <c r="H11" s="498">
        <v>500.0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4.5" customHeight="1">
      <c r="A12" s="546"/>
      <c r="B12" s="547"/>
      <c r="C12" s="548"/>
      <c r="D12" s="549"/>
      <c r="E12" s="550"/>
      <c r="F12" s="551"/>
      <c r="G12" s="551"/>
      <c r="H12" s="552"/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553" t="s">
        <v>593</v>
      </c>
      <c r="B13" s="554"/>
      <c r="C13" s="541" t="s">
        <v>561</v>
      </c>
      <c r="D13" s="542">
        <v>5950.0</v>
      </c>
      <c r="E13" s="541">
        <v>5950.0</v>
      </c>
      <c r="F13" s="53">
        <f t="shared" ref="F13:F16" si="3">D13-(D13*0.2)</f>
        <v>4760</v>
      </c>
      <c r="G13" s="53">
        <f t="shared" ref="G13:G16" si="4">E13-(E13*0.3)</f>
        <v>4165</v>
      </c>
      <c r="H13" s="53">
        <v>500.0</v>
      </c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423" t="s">
        <v>355</v>
      </c>
      <c r="B14" s="496" t="s">
        <v>356</v>
      </c>
      <c r="C14" s="541" t="s">
        <v>564</v>
      </c>
      <c r="D14" s="555">
        <v>5550.0</v>
      </c>
      <c r="E14" s="556">
        <v>5550.0</v>
      </c>
      <c r="F14" s="53">
        <f t="shared" si="3"/>
        <v>4440</v>
      </c>
      <c r="G14" s="53">
        <f t="shared" si="4"/>
        <v>3885</v>
      </c>
      <c r="H14" s="557">
        <v>500.0</v>
      </c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558" t="s">
        <v>566</v>
      </c>
      <c r="B15" s="545" t="s">
        <v>592</v>
      </c>
      <c r="C15" s="541" t="s">
        <v>363</v>
      </c>
      <c r="D15" s="542">
        <v>6180.0</v>
      </c>
      <c r="E15" s="541">
        <v>6180.0</v>
      </c>
      <c r="F15" s="53">
        <f t="shared" si="3"/>
        <v>4944</v>
      </c>
      <c r="G15" s="53">
        <f t="shared" si="4"/>
        <v>4326</v>
      </c>
      <c r="H15" s="543">
        <v>500.0</v>
      </c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495"/>
      <c r="B16" s="545"/>
      <c r="C16" s="418" t="s">
        <v>364</v>
      </c>
      <c r="D16" s="497">
        <v>7400.0</v>
      </c>
      <c r="E16" s="53">
        <f>SUM(D16)</f>
        <v>7400</v>
      </c>
      <c r="F16" s="53">
        <f t="shared" si="3"/>
        <v>5920</v>
      </c>
      <c r="G16" s="53">
        <f t="shared" si="4"/>
        <v>5180</v>
      </c>
      <c r="H16" s="498">
        <v>500.0</v>
      </c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4.5" customHeight="1">
      <c r="A17" s="559"/>
      <c r="B17" s="560"/>
      <c r="C17" s="561"/>
      <c r="D17" s="562"/>
      <c r="E17" s="563"/>
      <c r="F17" s="564"/>
      <c r="G17" s="564"/>
      <c r="H17" s="565"/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6.5" customHeight="1">
      <c r="A18" s="553" t="s">
        <v>594</v>
      </c>
      <c r="B18" s="554"/>
      <c r="C18" s="541" t="s">
        <v>561</v>
      </c>
      <c r="D18" s="542">
        <v>7080.0</v>
      </c>
      <c r="E18" s="541">
        <v>7080.0</v>
      </c>
      <c r="F18" s="53">
        <f t="shared" ref="F18:F21" si="5">D18-(D18*0.2)</f>
        <v>5664</v>
      </c>
      <c r="G18" s="53">
        <f t="shared" ref="G18:G21" si="6">E18-(E18*0.3)</f>
        <v>4956</v>
      </c>
      <c r="H18" s="53">
        <v>500.0</v>
      </c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6.5" customHeight="1">
      <c r="A19" s="522" t="s">
        <v>355</v>
      </c>
      <c r="B19" s="496" t="s">
        <v>356</v>
      </c>
      <c r="C19" s="541" t="s">
        <v>564</v>
      </c>
      <c r="D19" s="555">
        <v>6180.0</v>
      </c>
      <c r="E19" s="556">
        <v>6180.0</v>
      </c>
      <c r="F19" s="53">
        <f t="shared" si="5"/>
        <v>4944</v>
      </c>
      <c r="G19" s="53">
        <f t="shared" si="6"/>
        <v>4326</v>
      </c>
      <c r="H19" s="557">
        <v>500.0</v>
      </c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566" t="s">
        <v>568</v>
      </c>
      <c r="B20" s="545" t="s">
        <v>592</v>
      </c>
      <c r="C20" s="541" t="s">
        <v>363</v>
      </c>
      <c r="D20" s="542">
        <v>7280.0</v>
      </c>
      <c r="E20" s="541">
        <v>7280.0</v>
      </c>
      <c r="F20" s="53">
        <f t="shared" si="5"/>
        <v>5824</v>
      </c>
      <c r="G20" s="53">
        <f t="shared" si="6"/>
        <v>5096</v>
      </c>
      <c r="H20" s="543">
        <v>500.0</v>
      </c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567"/>
      <c r="B21" s="545"/>
      <c r="C21" s="418" t="s">
        <v>364</v>
      </c>
      <c r="D21" s="497">
        <v>8700.0</v>
      </c>
      <c r="E21" s="53">
        <f>SUM(D21)</f>
        <v>8700</v>
      </c>
      <c r="F21" s="53">
        <f t="shared" si="5"/>
        <v>6960</v>
      </c>
      <c r="G21" s="53">
        <f t="shared" si="6"/>
        <v>6090</v>
      </c>
      <c r="H21" s="498">
        <v>500.0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4.0" customHeight="1">
      <c r="A22" s="568" t="s">
        <v>373</v>
      </c>
      <c r="B22" s="485"/>
      <c r="C22" s="485"/>
      <c r="D22" s="485"/>
      <c r="E22" s="485"/>
      <c r="F22" s="485"/>
      <c r="G22" s="485"/>
      <c r="H22" s="569"/>
      <c r="I22" s="434"/>
      <c r="J22" s="24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6.5" customHeight="1">
      <c r="A23" s="443" t="s">
        <v>96</v>
      </c>
      <c r="B23" s="90"/>
      <c r="C23" s="570" t="s">
        <v>97</v>
      </c>
      <c r="D23" s="571"/>
      <c r="E23" s="571"/>
      <c r="F23" s="571"/>
      <c r="G23" s="571"/>
      <c r="H23" s="572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2.0" customHeight="1">
      <c r="A24" s="152" t="s">
        <v>98</v>
      </c>
      <c r="B24" s="39"/>
      <c r="C24" s="62" t="s">
        <v>99</v>
      </c>
      <c r="D24" s="62"/>
      <c r="E24" s="62"/>
      <c r="F24" s="62"/>
      <c r="G24" s="62"/>
      <c r="H24" s="6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2.0" customHeight="1">
      <c r="A25" s="64" t="s">
        <v>246</v>
      </c>
      <c r="B25" s="66"/>
      <c r="C25" s="65" t="s">
        <v>101</v>
      </c>
      <c r="D25" s="65"/>
      <c r="E25" s="65"/>
      <c r="F25" s="65"/>
      <c r="G25" s="65"/>
      <c r="H25" s="67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2.0" customHeight="1">
      <c r="A26" s="436" t="s">
        <v>417</v>
      </c>
      <c r="B26" s="66"/>
      <c r="C26" s="68" t="s">
        <v>518</v>
      </c>
      <c r="D26" s="65"/>
      <c r="E26" s="65"/>
      <c r="F26" s="65"/>
      <c r="G26" s="65"/>
      <c r="H26" s="67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2.0" customHeight="1">
      <c r="A27" s="60" t="s">
        <v>569</v>
      </c>
      <c r="B27" s="61"/>
      <c r="C27" s="68" t="s">
        <v>105</v>
      </c>
      <c r="D27" s="65"/>
      <c r="E27" s="65"/>
      <c r="F27" s="65"/>
      <c r="G27" s="65"/>
      <c r="H27" s="67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2.0" customHeight="1">
      <c r="A28" s="69" t="s">
        <v>104</v>
      </c>
      <c r="B28" s="61"/>
      <c r="C28" s="68" t="s">
        <v>107</v>
      </c>
      <c r="D28" s="65"/>
      <c r="E28" s="65"/>
      <c r="F28" s="65"/>
      <c r="G28" s="65"/>
      <c r="H28" s="67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2.0" customHeight="1">
      <c r="A29" s="69" t="s">
        <v>106</v>
      </c>
      <c r="B29" s="61"/>
      <c r="C29" s="73" t="s">
        <v>377</v>
      </c>
      <c r="D29" s="74"/>
      <c r="E29" s="74"/>
      <c r="F29" s="74"/>
      <c r="G29" s="74"/>
      <c r="H29" s="75"/>
      <c r="I29" s="24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2.0" customHeight="1">
      <c r="A30" s="573" t="s">
        <v>595</v>
      </c>
      <c r="B30" s="77"/>
      <c r="C30" s="68"/>
      <c r="D30" s="65"/>
      <c r="E30" s="65"/>
      <c r="F30" s="65"/>
      <c r="G30" s="65"/>
      <c r="H30" s="67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2.0" customHeight="1">
      <c r="A31" s="71" t="s">
        <v>596</v>
      </c>
      <c r="B31" s="72"/>
      <c r="C31" s="574"/>
      <c r="D31" s="65"/>
      <c r="E31" s="65"/>
      <c r="F31" s="65"/>
      <c r="G31" s="65"/>
      <c r="H31" s="67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2.0" customHeight="1">
      <c r="A32" s="71" t="s">
        <v>216</v>
      </c>
      <c r="B32" s="72"/>
      <c r="C32" s="71"/>
      <c r="D32" s="85"/>
      <c r="E32" s="65"/>
      <c r="F32" s="65"/>
      <c r="G32" s="65"/>
      <c r="H32" s="67"/>
      <c r="I32" s="24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6.5" customHeight="1">
      <c r="A33" s="71" t="s">
        <v>597</v>
      </c>
      <c r="B33" s="72"/>
      <c r="C33" s="530" t="s">
        <v>384</v>
      </c>
      <c r="D33" s="531"/>
      <c r="E33" s="531"/>
      <c r="F33" s="531"/>
      <c r="G33" s="531"/>
      <c r="H33" s="532"/>
      <c r="I33" s="24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0" customHeight="1">
      <c r="A34" s="71" t="s">
        <v>598</v>
      </c>
      <c r="B34" s="72"/>
      <c r="C34" s="81" t="s">
        <v>386</v>
      </c>
      <c r="D34" s="62"/>
      <c r="E34" s="62"/>
      <c r="F34" s="62" t="s">
        <v>574</v>
      </c>
      <c r="G34" s="62"/>
      <c r="H34" s="6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0" customHeight="1">
      <c r="A35" s="71" t="s">
        <v>599</v>
      </c>
      <c r="B35" s="72"/>
      <c r="C35" s="155"/>
      <c r="D35" s="156"/>
      <c r="E35" s="156"/>
      <c r="F35" s="156"/>
      <c r="G35" s="156"/>
      <c r="H35" s="442"/>
      <c r="I35" s="24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0" customHeight="1">
      <c r="A36" s="71" t="s">
        <v>385</v>
      </c>
      <c r="B36" s="72"/>
      <c r="C36" s="575" t="s">
        <v>576</v>
      </c>
      <c r="D36" s="65"/>
      <c r="E36" s="65"/>
      <c r="F36" s="514" t="s">
        <v>600</v>
      </c>
      <c r="G36" s="65"/>
      <c r="H36" s="67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0" customHeight="1">
      <c r="A37" s="71" t="s">
        <v>388</v>
      </c>
      <c r="B37" s="72"/>
      <c r="C37" s="23"/>
      <c r="D37" s="65"/>
      <c r="E37" s="65"/>
      <c r="F37" s="65"/>
      <c r="G37" s="65"/>
      <c r="H37" s="67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0" customHeight="1">
      <c r="A38" s="64"/>
      <c r="B38" s="72"/>
      <c r="C38" s="23"/>
      <c r="D38" s="106"/>
      <c r="E38" s="106"/>
      <c r="F38" s="106"/>
      <c r="G38" s="106"/>
      <c r="H38" s="450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443" t="s">
        <v>393</v>
      </c>
      <c r="B39" s="89"/>
      <c r="C39" s="89"/>
      <c r="D39" s="89"/>
      <c r="E39" s="89"/>
      <c r="F39" s="89"/>
      <c r="G39" s="89"/>
      <c r="H39" s="90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71" t="s">
        <v>114</v>
      </c>
      <c r="B40" s="23" t="s">
        <v>115</v>
      </c>
      <c r="C40" s="85" t="s">
        <v>137</v>
      </c>
      <c r="D40" s="85"/>
      <c r="E40" s="106"/>
      <c r="F40" s="106"/>
      <c r="G40" s="106"/>
      <c r="H40" s="450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69" t="s">
        <v>117</v>
      </c>
      <c r="B41" s="85" t="s">
        <v>224</v>
      </c>
      <c r="C41" s="85" t="s">
        <v>225</v>
      </c>
      <c r="D41" s="85"/>
      <c r="E41" s="106"/>
      <c r="F41" s="106"/>
      <c r="G41" s="106"/>
      <c r="H41" s="450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69" t="s">
        <v>121</v>
      </c>
      <c r="B42" s="85" t="s">
        <v>578</v>
      </c>
      <c r="C42" s="85" t="s">
        <v>225</v>
      </c>
      <c r="D42" s="85"/>
      <c r="E42" s="106"/>
      <c r="F42" s="106"/>
      <c r="G42" s="106"/>
      <c r="H42" s="450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69" t="s">
        <v>194</v>
      </c>
      <c r="B43" s="85" t="s">
        <v>118</v>
      </c>
      <c r="C43" s="85" t="s">
        <v>225</v>
      </c>
      <c r="D43" s="85"/>
      <c r="E43" s="106"/>
      <c r="F43" s="106"/>
      <c r="G43" s="106"/>
      <c r="H43" s="450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69" t="s">
        <v>253</v>
      </c>
      <c r="B44" s="85" t="s">
        <v>122</v>
      </c>
      <c r="C44" s="85" t="s">
        <v>119</v>
      </c>
      <c r="D44" s="85"/>
      <c r="E44" s="106"/>
      <c r="F44" s="106"/>
      <c r="G44" s="106"/>
      <c r="H44" s="450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3.5" customHeight="1">
      <c r="A45" s="404" t="s">
        <v>148</v>
      </c>
      <c r="B45" s="5"/>
      <c r="C45" s="576" t="s">
        <v>149</v>
      </c>
      <c r="D45" s="89"/>
      <c r="E45" s="89"/>
      <c r="F45" s="89"/>
      <c r="G45" s="89"/>
      <c r="H45" s="90"/>
      <c r="I45" s="24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ht="13.5" customHeight="1">
      <c r="A46" s="116" t="s">
        <v>601</v>
      </c>
      <c r="B46" s="91"/>
      <c r="C46" s="121">
        <v>1.0</v>
      </c>
      <c r="D46" s="122" t="s">
        <v>151</v>
      </c>
      <c r="E46" s="122"/>
      <c r="F46" s="123"/>
      <c r="G46" s="123"/>
      <c r="H46" s="124"/>
      <c r="I46" s="24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ht="13.5" customHeight="1">
      <c r="A47" s="116" t="s">
        <v>602</v>
      </c>
      <c r="B47" s="91"/>
      <c r="C47" s="577">
        <v>0.5</v>
      </c>
      <c r="D47" s="65" t="s">
        <v>153</v>
      </c>
      <c r="E47" s="65"/>
      <c r="F47" s="130"/>
      <c r="G47" s="130"/>
      <c r="H47" s="131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3.5" customHeight="1">
      <c r="A48" s="125" t="s">
        <v>603</v>
      </c>
      <c r="B48" s="23"/>
      <c r="C48" s="121">
        <v>0.0</v>
      </c>
      <c r="D48" s="122" t="s">
        <v>155</v>
      </c>
      <c r="E48" s="122"/>
      <c r="F48" s="123"/>
      <c r="G48" s="123"/>
      <c r="H48" s="124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3.5" customHeight="1">
      <c r="A49" s="127" t="s">
        <v>604</v>
      </c>
      <c r="B49" s="23"/>
      <c r="C49" s="71"/>
      <c r="D49" s="23"/>
      <c r="E49" s="376"/>
      <c r="F49" s="65"/>
      <c r="G49" s="65"/>
      <c r="H49" s="131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3.5" customHeight="1">
      <c r="A50" s="127" t="s">
        <v>605</v>
      </c>
      <c r="B50" s="23"/>
      <c r="C50" s="71"/>
      <c r="D50" s="23"/>
      <c r="E50" s="23"/>
      <c r="F50" s="23"/>
      <c r="G50" s="23"/>
      <c r="H50" s="72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3.5" customHeight="1">
      <c r="A51" s="127" t="s">
        <v>606</v>
      </c>
      <c r="B51" s="23"/>
      <c r="C51" s="71"/>
      <c r="D51" s="23"/>
      <c r="E51" s="23"/>
      <c r="F51" s="23"/>
      <c r="G51" s="23"/>
      <c r="H51" s="72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3.5" customHeight="1">
      <c r="A52" s="127" t="s">
        <v>607</v>
      </c>
      <c r="B52" s="23"/>
      <c r="C52" s="71"/>
      <c r="D52" s="23"/>
      <c r="E52" s="23"/>
      <c r="F52" s="23"/>
      <c r="G52" s="23"/>
      <c r="H52" s="72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3.5" customHeight="1">
      <c r="A53" s="127" t="s">
        <v>608</v>
      </c>
      <c r="B53" s="23"/>
      <c r="C53" s="71"/>
      <c r="D53" s="23"/>
      <c r="E53" s="23"/>
      <c r="F53" s="23"/>
      <c r="G53" s="23"/>
      <c r="H53" s="72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3.5" customHeight="1">
      <c r="A54" s="132" t="s">
        <v>161</v>
      </c>
      <c r="B54" s="134" t="s">
        <v>163</v>
      </c>
      <c r="C54" s="71"/>
      <c r="D54" s="23"/>
      <c r="E54" s="23"/>
      <c r="F54" s="23"/>
      <c r="G54" s="23"/>
      <c r="H54" s="72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3.5" customHeight="1">
      <c r="A55" s="125" t="s">
        <v>609</v>
      </c>
      <c r="B55" s="23"/>
      <c r="C55" s="71"/>
      <c r="D55" s="23"/>
      <c r="E55" s="23"/>
      <c r="F55" s="23"/>
      <c r="G55" s="23"/>
      <c r="H55" s="72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3.5" customHeight="1">
      <c r="A56" s="71" t="s">
        <v>164</v>
      </c>
      <c r="B56" s="135" t="s">
        <v>165</v>
      </c>
      <c r="C56" s="578"/>
      <c r="D56" s="23"/>
      <c r="E56" s="23"/>
      <c r="F56" s="23"/>
      <c r="G56" s="23"/>
      <c r="H56" s="72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3.5" customHeight="1">
      <c r="A57" s="71" t="s">
        <v>166</v>
      </c>
      <c r="B57" s="135" t="s">
        <v>167</v>
      </c>
      <c r="C57" s="578"/>
      <c r="D57" s="23"/>
      <c r="E57" s="23"/>
      <c r="F57" s="23"/>
      <c r="G57" s="23"/>
      <c r="H57" s="72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3.5" customHeight="1">
      <c r="A58" s="71" t="s">
        <v>168</v>
      </c>
      <c r="B58" s="135" t="s">
        <v>169</v>
      </c>
      <c r="C58" s="578"/>
      <c r="D58" s="23"/>
      <c r="E58" s="23"/>
      <c r="F58" s="23"/>
      <c r="G58" s="23"/>
      <c r="H58" s="72"/>
      <c r="I58" s="24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3.5" customHeight="1">
      <c r="A59" s="71" t="s">
        <v>170</v>
      </c>
      <c r="B59" s="23" t="s">
        <v>171</v>
      </c>
      <c r="C59" s="71"/>
      <c r="D59" s="23"/>
      <c r="E59" s="23"/>
      <c r="F59" s="23"/>
      <c r="G59" s="23"/>
      <c r="H59" s="72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3.5" customHeight="1">
      <c r="A60" s="86" t="s">
        <v>172</v>
      </c>
      <c r="B60" s="87" t="s">
        <v>173</v>
      </c>
      <c r="C60" s="86"/>
      <c r="D60" s="87"/>
      <c r="E60" s="87"/>
      <c r="F60" s="87"/>
      <c r="G60" s="87"/>
      <c r="H60" s="136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3.5" customHeight="1">
      <c r="A61" s="404" t="s">
        <v>174</v>
      </c>
      <c r="B61" s="5"/>
      <c r="C61" s="5"/>
      <c r="D61" s="5"/>
      <c r="E61" s="5"/>
      <c r="F61" s="5"/>
      <c r="G61" s="5"/>
      <c r="H61" s="6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64" t="s">
        <v>175</v>
      </c>
      <c r="B62" s="65"/>
      <c r="C62" s="65"/>
      <c r="D62" s="65"/>
      <c r="E62" s="65"/>
      <c r="F62" s="65"/>
      <c r="G62" s="65"/>
      <c r="H62" s="67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64" t="s">
        <v>176</v>
      </c>
      <c r="B63" s="65"/>
      <c r="C63" s="65"/>
      <c r="D63" s="65"/>
      <c r="E63" s="65"/>
      <c r="F63" s="65"/>
      <c r="G63" s="65"/>
      <c r="H63" s="67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2.75" customHeight="1">
      <c r="A64" s="64" t="s">
        <v>177</v>
      </c>
      <c r="B64" s="65"/>
      <c r="C64" s="65"/>
      <c r="D64" s="65"/>
      <c r="E64" s="65"/>
      <c r="F64" s="65"/>
      <c r="G64" s="65"/>
      <c r="H64" s="67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64" t="s">
        <v>610</v>
      </c>
      <c r="B65" s="65"/>
      <c r="C65" s="65"/>
      <c r="D65" s="65"/>
      <c r="E65" s="65"/>
      <c r="F65" s="65"/>
      <c r="G65" s="65"/>
      <c r="H65" s="67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60" t="s">
        <v>179</v>
      </c>
      <c r="H66" s="61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2.75" customHeight="1">
      <c r="A67" s="137" t="s">
        <v>180</v>
      </c>
      <c r="H67" s="61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138" t="s">
        <v>181</v>
      </c>
      <c r="B68" s="65"/>
      <c r="C68" s="65"/>
      <c r="D68" s="65"/>
      <c r="E68" s="65"/>
      <c r="F68" s="65"/>
      <c r="G68" s="65"/>
      <c r="H68" s="67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64" t="s">
        <v>182</v>
      </c>
      <c r="B69" s="65"/>
      <c r="C69" s="65"/>
      <c r="D69" s="65"/>
      <c r="E69" s="65"/>
      <c r="F69" s="65"/>
      <c r="G69" s="65"/>
      <c r="H69" s="67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2.75" customHeight="1">
      <c r="A70" s="78" t="s">
        <v>611</v>
      </c>
      <c r="B70" s="45"/>
      <c r="C70" s="45"/>
      <c r="D70" s="45"/>
      <c r="E70" s="45"/>
      <c r="F70" s="45"/>
      <c r="G70" s="45"/>
      <c r="H70" s="46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3"/>
      <c r="B71" s="23"/>
      <c r="C71" s="23"/>
      <c r="D71" s="23"/>
      <c r="E71" s="23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23"/>
      <c r="B72" s="23"/>
      <c r="C72" s="23"/>
      <c r="D72" s="23"/>
      <c r="E72" s="23"/>
      <c r="F72" s="23"/>
      <c r="G72" s="23"/>
      <c r="H72" s="23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23"/>
      <c r="B73" s="23"/>
      <c r="C73" s="23"/>
      <c r="D73" s="23"/>
      <c r="E73" s="23"/>
      <c r="F73" s="23"/>
      <c r="G73" s="23"/>
      <c r="H73" s="23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23"/>
      <c r="B74" s="23"/>
      <c r="C74" s="23"/>
      <c r="D74" s="23"/>
      <c r="E74" s="23"/>
      <c r="F74" s="23"/>
      <c r="G74" s="23"/>
      <c r="H74" s="23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23"/>
      <c r="B75" s="23"/>
      <c r="C75" s="23"/>
      <c r="D75" s="23"/>
      <c r="E75" s="23"/>
      <c r="F75" s="23"/>
      <c r="G75" s="23"/>
      <c r="H75" s="23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23"/>
      <c r="B76" s="23"/>
      <c r="C76" s="23"/>
      <c r="D76" s="23"/>
      <c r="E76" s="23"/>
      <c r="F76" s="23"/>
      <c r="G76" s="23"/>
      <c r="H76" s="23"/>
      <c r="I76" s="2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23"/>
      <c r="B77" s="23"/>
      <c r="C77" s="23"/>
      <c r="D77" s="23"/>
      <c r="E77" s="23"/>
      <c r="F77" s="23"/>
      <c r="G77" s="23"/>
      <c r="H77" s="23"/>
      <c r="I77" s="24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3.5" customHeight="1">
      <c r="A78" s="23"/>
      <c r="B78" s="23"/>
      <c r="C78" s="23"/>
      <c r="D78" s="23"/>
      <c r="E78" s="23"/>
      <c r="F78" s="23"/>
      <c r="G78" s="23"/>
      <c r="H78" s="23"/>
      <c r="I78" s="24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3.5" customHeight="1">
      <c r="A79" s="23"/>
      <c r="B79" s="23"/>
      <c r="C79" s="23"/>
      <c r="D79" s="23"/>
      <c r="E79" s="23"/>
      <c r="F79" s="23"/>
      <c r="G79" s="23"/>
      <c r="H79" s="23"/>
      <c r="I79" s="24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4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F6:G6"/>
    <mergeCell ref="H6:H7"/>
    <mergeCell ref="F7:G7"/>
    <mergeCell ref="A2:C2"/>
    <mergeCell ref="A3:C3"/>
    <mergeCell ref="A4:A5"/>
    <mergeCell ref="B4:B5"/>
    <mergeCell ref="C4:C5"/>
    <mergeCell ref="D4:H4"/>
    <mergeCell ref="D6:E7"/>
    <mergeCell ref="A9:A11"/>
    <mergeCell ref="A15:A16"/>
    <mergeCell ref="A20:A21"/>
    <mergeCell ref="A22:H22"/>
    <mergeCell ref="A23:B23"/>
    <mergeCell ref="C23:H23"/>
    <mergeCell ref="A24:B24"/>
    <mergeCell ref="A66:H66"/>
    <mergeCell ref="A67:H67"/>
    <mergeCell ref="A70:H70"/>
    <mergeCell ref="A27:B27"/>
    <mergeCell ref="A28:B28"/>
    <mergeCell ref="A29:B29"/>
    <mergeCell ref="A39:H39"/>
    <mergeCell ref="A45:B45"/>
    <mergeCell ref="C45:H45"/>
    <mergeCell ref="A61:H61"/>
  </mergeCells>
  <printOptions/>
  <pageMargins bottom="0.0" footer="0.0" header="0.0" left="0.11811023622047245" right="0.0" top="0.1968503937007874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6.0"/>
    <col customWidth="1" min="3" max="3" width="26.71"/>
    <col customWidth="1" min="4" max="4" width="9.71"/>
    <col customWidth="1" min="5" max="5" width="8.71"/>
    <col customWidth="1" min="6" max="6" width="11.71"/>
    <col customWidth="1" min="7" max="7" width="12.29"/>
    <col customWidth="1" min="8" max="8" width="7.71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612</v>
      </c>
      <c r="B2" s="26"/>
      <c r="C2" s="26"/>
      <c r="D2" s="402"/>
      <c r="E2" s="402"/>
      <c r="F2" s="391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613</v>
      </c>
      <c r="B3" s="28"/>
      <c r="C3" s="28"/>
      <c r="D3" s="29" t="s">
        <v>72</v>
      </c>
      <c r="E3" s="533"/>
      <c r="F3" s="23"/>
      <c r="G3" s="23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2"/>
      <c r="B5" s="32"/>
      <c r="C5" s="32"/>
      <c r="D5" s="405" t="s">
        <v>76</v>
      </c>
      <c r="E5" s="405" t="s">
        <v>77</v>
      </c>
      <c r="F5" s="405" t="s">
        <v>78</v>
      </c>
      <c r="G5" s="405" t="s">
        <v>79</v>
      </c>
      <c r="H5" s="405" t="s">
        <v>80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8.75" customHeight="1">
      <c r="A6" s="140"/>
      <c r="B6" s="406"/>
      <c r="C6" s="141"/>
      <c r="D6" s="40" t="s">
        <v>82</v>
      </c>
      <c r="E6" s="39"/>
      <c r="F6" s="41" t="s">
        <v>83</v>
      </c>
      <c r="G6" s="26"/>
      <c r="H6" s="142" t="s">
        <v>186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2.75" customHeight="1">
      <c r="A7" s="108"/>
      <c r="C7" s="61"/>
      <c r="D7" s="465"/>
      <c r="E7" s="61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553" t="s">
        <v>614</v>
      </c>
      <c r="B8" s="406"/>
      <c r="C8" s="418"/>
      <c r="D8" s="52"/>
      <c r="E8" s="53"/>
      <c r="F8" s="53"/>
      <c r="G8" s="53"/>
      <c r="H8" s="53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411" t="s">
        <v>355</v>
      </c>
      <c r="B9" s="412" t="s">
        <v>356</v>
      </c>
      <c r="C9" s="413" t="s">
        <v>615</v>
      </c>
      <c r="D9" s="52">
        <v>3950.0</v>
      </c>
      <c r="E9" s="53">
        <f t="shared" ref="E9:E12" si="1">SUM(D9)</f>
        <v>3950</v>
      </c>
      <c r="F9" s="53">
        <f t="shared" ref="F9:F12" si="2">D9-(D9*0.2)</f>
        <v>3160</v>
      </c>
      <c r="G9" s="53">
        <f t="shared" ref="G9:G12" si="3">E9-(E9*0.3)</f>
        <v>2765</v>
      </c>
      <c r="H9" s="53">
        <v>500.0</v>
      </c>
      <c r="I9" s="5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579" t="s">
        <v>616</v>
      </c>
      <c r="B10" s="412" t="s">
        <v>617</v>
      </c>
      <c r="C10" s="413" t="s">
        <v>618</v>
      </c>
      <c r="D10" s="52">
        <v>3850.0</v>
      </c>
      <c r="E10" s="53">
        <f t="shared" si="1"/>
        <v>3850</v>
      </c>
      <c r="F10" s="53">
        <f t="shared" si="2"/>
        <v>3080</v>
      </c>
      <c r="G10" s="53">
        <f t="shared" si="3"/>
        <v>2695</v>
      </c>
      <c r="H10" s="53">
        <v>500.0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579"/>
      <c r="B11" s="412"/>
      <c r="C11" s="413" t="s">
        <v>619</v>
      </c>
      <c r="D11" s="52">
        <v>3950.0</v>
      </c>
      <c r="E11" s="53">
        <f t="shared" si="1"/>
        <v>3950</v>
      </c>
      <c r="F11" s="53">
        <f t="shared" si="2"/>
        <v>3160</v>
      </c>
      <c r="G11" s="53">
        <f t="shared" si="3"/>
        <v>2765</v>
      </c>
      <c r="H11" s="53">
        <v>500.0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6.5" customHeight="1">
      <c r="A12" s="580"/>
      <c r="B12" s="527"/>
      <c r="C12" s="413" t="s">
        <v>620</v>
      </c>
      <c r="D12" s="52">
        <v>4550.0</v>
      </c>
      <c r="E12" s="53">
        <f t="shared" si="1"/>
        <v>4550</v>
      </c>
      <c r="F12" s="53">
        <f t="shared" si="2"/>
        <v>3640</v>
      </c>
      <c r="G12" s="53">
        <f t="shared" si="3"/>
        <v>3185</v>
      </c>
      <c r="H12" s="53">
        <v>500.0</v>
      </c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4.5" customHeight="1">
      <c r="A13" s="581"/>
      <c r="B13" s="582"/>
      <c r="C13" s="582"/>
      <c r="D13" s="582"/>
      <c r="E13" s="582"/>
      <c r="F13" s="582"/>
      <c r="G13" s="582"/>
      <c r="H13" s="583"/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553" t="s">
        <v>621</v>
      </c>
      <c r="B14" s="517"/>
      <c r="C14" s="418"/>
      <c r="D14" s="52"/>
      <c r="E14" s="53"/>
      <c r="F14" s="53"/>
      <c r="G14" s="53"/>
      <c r="H14" s="53"/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411" t="s">
        <v>355</v>
      </c>
      <c r="B15" s="412" t="s">
        <v>356</v>
      </c>
      <c r="C15" s="413" t="s">
        <v>615</v>
      </c>
      <c r="D15" s="52">
        <v>4800.0</v>
      </c>
      <c r="E15" s="53">
        <f t="shared" ref="E15:E18" si="4">SUM(D15)</f>
        <v>4800</v>
      </c>
      <c r="F15" s="53">
        <f t="shared" ref="F15:F18" si="5">D15-(D15*0.2)</f>
        <v>3840</v>
      </c>
      <c r="G15" s="53">
        <f t="shared" ref="G15:G18" si="6">E15-(E15*0.3)</f>
        <v>3360</v>
      </c>
      <c r="H15" s="53">
        <v>500.0</v>
      </c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414" t="s">
        <v>622</v>
      </c>
      <c r="B16" s="412" t="s">
        <v>623</v>
      </c>
      <c r="C16" s="413" t="s">
        <v>618</v>
      </c>
      <c r="D16" s="52">
        <v>4700.0</v>
      </c>
      <c r="E16" s="53">
        <f t="shared" si="4"/>
        <v>4700</v>
      </c>
      <c r="F16" s="53">
        <f t="shared" si="5"/>
        <v>3760</v>
      </c>
      <c r="G16" s="53">
        <f t="shared" si="6"/>
        <v>3290</v>
      </c>
      <c r="H16" s="53">
        <v>500.0</v>
      </c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6.5" customHeight="1">
      <c r="A17" s="415"/>
      <c r="B17" s="412"/>
      <c r="C17" s="413" t="s">
        <v>619</v>
      </c>
      <c r="D17" s="52">
        <v>4800.0</v>
      </c>
      <c r="E17" s="53">
        <f t="shared" si="4"/>
        <v>4800</v>
      </c>
      <c r="F17" s="53">
        <f t="shared" si="5"/>
        <v>3840</v>
      </c>
      <c r="G17" s="53">
        <f t="shared" si="6"/>
        <v>3360</v>
      </c>
      <c r="H17" s="53">
        <v>500.0</v>
      </c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6.5" customHeight="1">
      <c r="A18" s="495"/>
      <c r="B18" s="412"/>
      <c r="C18" s="413" t="s">
        <v>620</v>
      </c>
      <c r="D18" s="52">
        <v>5500.0</v>
      </c>
      <c r="E18" s="53">
        <f t="shared" si="4"/>
        <v>5500</v>
      </c>
      <c r="F18" s="53">
        <f t="shared" si="5"/>
        <v>4400</v>
      </c>
      <c r="G18" s="53">
        <f t="shared" si="6"/>
        <v>3850</v>
      </c>
      <c r="H18" s="53">
        <v>500.0</v>
      </c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3.75" customHeight="1">
      <c r="A19" s="499"/>
      <c r="B19" s="584"/>
      <c r="C19" s="584"/>
      <c r="D19" s="584"/>
      <c r="E19" s="584"/>
      <c r="F19" s="584"/>
      <c r="G19" s="584"/>
      <c r="H19" s="585"/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6.5" customHeight="1">
      <c r="A20" s="553" t="s">
        <v>624</v>
      </c>
      <c r="B20" s="517"/>
      <c r="C20" s="418"/>
      <c r="D20" s="52"/>
      <c r="E20" s="53"/>
      <c r="F20" s="53"/>
      <c r="G20" s="53"/>
      <c r="H20" s="53"/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6.5" customHeight="1">
      <c r="A21" s="423" t="s">
        <v>355</v>
      </c>
      <c r="B21" s="412" t="s">
        <v>356</v>
      </c>
      <c r="C21" s="413" t="s">
        <v>615</v>
      </c>
      <c r="D21" s="52">
        <v>4900.0</v>
      </c>
      <c r="E21" s="53">
        <f t="shared" ref="E21:E24" si="7">SUM(D21)</f>
        <v>4900</v>
      </c>
      <c r="F21" s="53">
        <f t="shared" ref="F21:F24" si="8">D21-(D21*0.2)</f>
        <v>3920</v>
      </c>
      <c r="G21" s="53">
        <f t="shared" ref="G21:G24" si="9">E21-(E21*0.3)</f>
        <v>3430</v>
      </c>
      <c r="H21" s="53">
        <v>500.0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6.5" customHeight="1">
      <c r="A22" s="424" t="s">
        <v>625</v>
      </c>
      <c r="B22" s="412" t="s">
        <v>623</v>
      </c>
      <c r="C22" s="413" t="s">
        <v>618</v>
      </c>
      <c r="D22" s="52">
        <v>4700.0</v>
      </c>
      <c r="E22" s="53">
        <f t="shared" si="7"/>
        <v>4700</v>
      </c>
      <c r="F22" s="53">
        <f t="shared" si="8"/>
        <v>3760</v>
      </c>
      <c r="G22" s="53">
        <f t="shared" si="9"/>
        <v>3290</v>
      </c>
      <c r="H22" s="53">
        <v>500.0</v>
      </c>
      <c r="I22" s="5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6.5" customHeight="1">
      <c r="A23" s="586"/>
      <c r="B23" s="412"/>
      <c r="C23" s="413" t="s">
        <v>619</v>
      </c>
      <c r="D23" s="52">
        <v>4900.0</v>
      </c>
      <c r="E23" s="53">
        <f t="shared" si="7"/>
        <v>4900</v>
      </c>
      <c r="F23" s="53">
        <f t="shared" si="8"/>
        <v>3920</v>
      </c>
      <c r="G23" s="53">
        <f t="shared" si="9"/>
        <v>3430</v>
      </c>
      <c r="H23" s="53">
        <v>500.0</v>
      </c>
      <c r="I23" s="5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6.5" customHeight="1">
      <c r="A24" s="424"/>
      <c r="B24" s="412"/>
      <c r="C24" s="413" t="s">
        <v>620</v>
      </c>
      <c r="D24" s="52">
        <v>5650.0</v>
      </c>
      <c r="E24" s="53">
        <f t="shared" si="7"/>
        <v>5650</v>
      </c>
      <c r="F24" s="53">
        <f t="shared" si="8"/>
        <v>4520</v>
      </c>
      <c r="G24" s="53">
        <f t="shared" si="9"/>
        <v>3955</v>
      </c>
      <c r="H24" s="53">
        <v>500.0</v>
      </c>
      <c r="I24" s="5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4.5" customHeight="1">
      <c r="A25" s="581"/>
      <c r="B25" s="582"/>
      <c r="C25" s="582"/>
      <c r="D25" s="582"/>
      <c r="E25" s="582"/>
      <c r="F25" s="582"/>
      <c r="G25" s="582"/>
      <c r="H25" s="583"/>
      <c r="I25" s="5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6.5" customHeight="1">
      <c r="A26" s="553" t="s">
        <v>626</v>
      </c>
      <c r="B26" s="517"/>
      <c r="C26" s="418"/>
      <c r="D26" s="52"/>
      <c r="E26" s="53"/>
      <c r="F26" s="53"/>
      <c r="G26" s="53"/>
      <c r="H26" s="53"/>
      <c r="I26" s="55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6.5" customHeight="1">
      <c r="A27" s="423" t="s">
        <v>355</v>
      </c>
      <c r="B27" s="412" t="s">
        <v>356</v>
      </c>
      <c r="C27" s="413" t="s">
        <v>615</v>
      </c>
      <c r="D27" s="52">
        <v>5100.0</v>
      </c>
      <c r="E27" s="53">
        <f t="shared" ref="E27:E30" si="10">SUM(D27)</f>
        <v>5100</v>
      </c>
      <c r="F27" s="53">
        <f t="shared" ref="F27:F30" si="11">D27-(D27*0.2)</f>
        <v>4080</v>
      </c>
      <c r="G27" s="53">
        <f t="shared" ref="G27:G30" si="12">E27-(E27*0.3)</f>
        <v>3570</v>
      </c>
      <c r="H27" s="53">
        <v>500.0</v>
      </c>
      <c r="I27" s="55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6.5" customHeight="1">
      <c r="A28" s="509" t="s">
        <v>627</v>
      </c>
      <c r="B28" s="412" t="s">
        <v>623</v>
      </c>
      <c r="C28" s="413" t="s">
        <v>618</v>
      </c>
      <c r="D28" s="52">
        <v>4900.0</v>
      </c>
      <c r="E28" s="53">
        <f t="shared" si="10"/>
        <v>4900</v>
      </c>
      <c r="F28" s="53">
        <f t="shared" si="11"/>
        <v>3920</v>
      </c>
      <c r="G28" s="53">
        <f t="shared" si="12"/>
        <v>3430</v>
      </c>
      <c r="H28" s="53">
        <v>500.0</v>
      </c>
      <c r="I28" s="55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6.5" customHeight="1">
      <c r="A29" s="415"/>
      <c r="B29" s="412"/>
      <c r="C29" s="413" t="s">
        <v>619</v>
      </c>
      <c r="D29" s="52">
        <v>5100.0</v>
      </c>
      <c r="E29" s="53">
        <f t="shared" si="10"/>
        <v>5100</v>
      </c>
      <c r="F29" s="53">
        <f t="shared" si="11"/>
        <v>4080</v>
      </c>
      <c r="G29" s="53">
        <f t="shared" si="12"/>
        <v>3570</v>
      </c>
      <c r="H29" s="53">
        <v>500.0</v>
      </c>
      <c r="I29" s="55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6.5" customHeight="1">
      <c r="A30" s="567"/>
      <c r="B30" s="412"/>
      <c r="C30" s="413" t="s">
        <v>620</v>
      </c>
      <c r="D30" s="52">
        <v>5880.0</v>
      </c>
      <c r="E30" s="53">
        <f t="shared" si="10"/>
        <v>5880</v>
      </c>
      <c r="F30" s="53">
        <f t="shared" si="11"/>
        <v>4704</v>
      </c>
      <c r="G30" s="53">
        <f t="shared" si="12"/>
        <v>4116</v>
      </c>
      <c r="H30" s="53">
        <v>500.0</v>
      </c>
      <c r="I30" s="55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4.0" customHeight="1">
      <c r="A31" s="484" t="s">
        <v>373</v>
      </c>
      <c r="B31" s="485"/>
      <c r="C31" s="485"/>
      <c r="D31" s="485"/>
      <c r="E31" s="485"/>
      <c r="F31" s="485"/>
      <c r="G31" s="485"/>
      <c r="H31" s="486"/>
      <c r="I31" s="434"/>
      <c r="J31" s="24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6.5" customHeight="1">
      <c r="A32" s="404" t="s">
        <v>96</v>
      </c>
      <c r="B32" s="6"/>
      <c r="C32" s="435" t="s">
        <v>97</v>
      </c>
      <c r="D32" s="5"/>
      <c r="E32" s="5"/>
      <c r="F32" s="5"/>
      <c r="G32" s="5"/>
      <c r="H32" s="6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0" customHeight="1">
      <c r="A33" s="152" t="s">
        <v>98</v>
      </c>
      <c r="B33" s="38"/>
      <c r="C33" s="153" t="s">
        <v>99</v>
      </c>
      <c r="D33" s="62"/>
      <c r="E33" s="62"/>
      <c r="F33" s="62"/>
      <c r="G33" s="62"/>
      <c r="H33" s="63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2.0" customHeight="1">
      <c r="A34" s="64" t="s">
        <v>191</v>
      </c>
      <c r="B34" s="85"/>
      <c r="C34" s="64" t="s">
        <v>101</v>
      </c>
      <c r="D34" s="65"/>
      <c r="E34" s="65"/>
      <c r="F34" s="65"/>
      <c r="G34" s="65"/>
      <c r="H34" s="67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0" customHeight="1">
      <c r="A35" s="436" t="s">
        <v>417</v>
      </c>
      <c r="B35" s="85"/>
      <c r="C35" s="70" t="s">
        <v>628</v>
      </c>
      <c r="D35" s="65"/>
      <c r="E35" s="65"/>
      <c r="F35" s="65"/>
      <c r="G35" s="65"/>
      <c r="H35" s="67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0" customHeight="1">
      <c r="A36" s="60" t="s">
        <v>376</v>
      </c>
      <c r="C36" s="70" t="s">
        <v>105</v>
      </c>
      <c r="D36" s="65"/>
      <c r="E36" s="65"/>
      <c r="F36" s="65"/>
      <c r="G36" s="65"/>
      <c r="H36" s="67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2.0" customHeight="1">
      <c r="A37" s="69" t="s">
        <v>104</v>
      </c>
      <c r="C37" s="437" t="s">
        <v>377</v>
      </c>
      <c r="D37" s="74"/>
      <c r="E37" s="74"/>
      <c r="F37" s="74"/>
      <c r="G37" s="74"/>
      <c r="H37" s="75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0" customHeight="1">
      <c r="A38" s="69" t="s">
        <v>629</v>
      </c>
      <c r="C38" s="68" t="s">
        <v>630</v>
      </c>
      <c r="D38" s="65"/>
      <c r="E38" s="65"/>
      <c r="F38" s="65"/>
      <c r="G38" s="65"/>
      <c r="H38" s="67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2.0" customHeight="1">
      <c r="A39" s="573" t="s">
        <v>631</v>
      </c>
      <c r="B39" s="402"/>
      <c r="C39" s="68"/>
      <c r="D39" s="65"/>
      <c r="E39" s="65"/>
      <c r="F39" s="65"/>
      <c r="G39" s="65"/>
      <c r="H39" s="67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0" customHeight="1">
      <c r="A40" s="71" t="s">
        <v>632</v>
      </c>
      <c r="B40" s="23"/>
      <c r="C40" s="70"/>
      <c r="D40" s="65"/>
      <c r="E40" s="65"/>
      <c r="F40" s="65"/>
      <c r="G40" s="65"/>
      <c r="H40" s="67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2.0" customHeight="1">
      <c r="A41" s="71" t="s">
        <v>633</v>
      </c>
      <c r="B41" s="23"/>
      <c r="C41" s="68"/>
      <c r="D41" s="65"/>
      <c r="E41" s="65"/>
      <c r="F41" s="65"/>
      <c r="G41" s="65"/>
      <c r="H41" s="67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2.0" customHeight="1">
      <c r="A42" s="71" t="s">
        <v>634</v>
      </c>
      <c r="B42" s="23"/>
      <c r="C42" s="71"/>
      <c r="D42" s="65"/>
      <c r="E42" s="65"/>
      <c r="F42" s="65"/>
      <c r="G42" s="65"/>
      <c r="H42" s="67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2.0" customHeight="1">
      <c r="A43" s="71" t="s">
        <v>635</v>
      </c>
      <c r="B43" s="23"/>
      <c r="C43" s="71"/>
      <c r="D43" s="65"/>
      <c r="E43" s="65"/>
      <c r="F43" s="65"/>
      <c r="G43" s="65"/>
      <c r="H43" s="67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2.0" customHeight="1">
      <c r="A44" s="71" t="s">
        <v>636</v>
      </c>
      <c r="B44" s="23"/>
      <c r="C44" s="524"/>
      <c r="D44" s="525"/>
      <c r="E44" s="525"/>
      <c r="F44" s="525"/>
      <c r="G44" s="525"/>
      <c r="H44" s="67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0" customHeight="1">
      <c r="A45" s="71" t="s">
        <v>637</v>
      </c>
      <c r="B45" s="23"/>
      <c r="C45" s="530" t="s">
        <v>384</v>
      </c>
      <c r="D45" s="531"/>
      <c r="E45" s="531"/>
      <c r="F45" s="531"/>
      <c r="G45" s="531"/>
      <c r="H45" s="532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0" customHeight="1">
      <c r="A46" s="71" t="s">
        <v>638</v>
      </c>
      <c r="B46" s="23"/>
      <c r="C46" s="81" t="s">
        <v>386</v>
      </c>
      <c r="D46" s="62"/>
      <c r="E46" s="62"/>
      <c r="F46" s="62" t="s">
        <v>639</v>
      </c>
      <c r="G46" s="62"/>
      <c r="H46" s="63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0" customHeight="1">
      <c r="A47" s="71"/>
      <c r="B47" s="23"/>
      <c r="C47" s="575" t="s">
        <v>640</v>
      </c>
      <c r="D47" s="514"/>
      <c r="E47" s="514"/>
      <c r="F47" s="514" t="s">
        <v>641</v>
      </c>
      <c r="G47" s="65"/>
      <c r="H47" s="67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2.0" customHeight="1">
      <c r="A48" s="71"/>
      <c r="B48" s="23"/>
      <c r="C48" s="86"/>
      <c r="D48" s="156"/>
      <c r="E48" s="156"/>
      <c r="F48" s="156"/>
      <c r="G48" s="156"/>
      <c r="H48" s="442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0" customHeight="1">
      <c r="A49" s="587" t="s">
        <v>642</v>
      </c>
      <c r="B49" s="26"/>
      <c r="C49" s="26"/>
      <c r="D49" s="26"/>
      <c r="E49" s="26"/>
      <c r="F49" s="26"/>
      <c r="G49" s="26"/>
      <c r="H49" s="115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353" t="s">
        <v>114</v>
      </c>
      <c r="B50" s="23" t="s">
        <v>115</v>
      </c>
      <c r="C50" s="85" t="s">
        <v>137</v>
      </c>
      <c r="D50" s="65"/>
      <c r="E50" s="65"/>
      <c r="F50" s="65"/>
      <c r="G50" s="65"/>
      <c r="H50" s="67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355" t="s">
        <v>117</v>
      </c>
      <c r="B51" s="85" t="s">
        <v>224</v>
      </c>
      <c r="C51" s="85" t="s">
        <v>225</v>
      </c>
      <c r="D51" s="65"/>
      <c r="E51" s="65"/>
      <c r="F51" s="65"/>
      <c r="G51" s="65"/>
      <c r="H51" s="67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21.0" customHeight="1">
      <c r="A52" s="355" t="s">
        <v>121</v>
      </c>
      <c r="B52" s="85" t="s">
        <v>643</v>
      </c>
      <c r="C52" s="85" t="s">
        <v>225</v>
      </c>
      <c r="D52" s="65"/>
      <c r="E52" s="65"/>
      <c r="F52" s="65"/>
      <c r="G52" s="65"/>
      <c r="H52" s="67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355" t="s">
        <v>194</v>
      </c>
      <c r="B53" s="85" t="s">
        <v>122</v>
      </c>
      <c r="C53" s="85" t="s">
        <v>119</v>
      </c>
      <c r="D53" s="65"/>
      <c r="E53" s="65"/>
      <c r="F53" s="65"/>
      <c r="G53" s="65"/>
      <c r="H53" s="67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404" t="s">
        <v>148</v>
      </c>
      <c r="B54" s="5"/>
      <c r="C54" s="5"/>
      <c r="D54" s="492" t="s">
        <v>149</v>
      </c>
      <c r="E54" s="5"/>
      <c r="F54" s="5"/>
      <c r="G54" s="5"/>
      <c r="H54" s="6"/>
      <c r="I54" s="24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ht="13.5" customHeight="1">
      <c r="A55" s="459" t="s">
        <v>644</v>
      </c>
      <c r="B55" s="460"/>
      <c r="C55" s="461"/>
      <c r="D55" s="118">
        <v>1.0</v>
      </c>
      <c r="E55" s="62" t="s">
        <v>151</v>
      </c>
      <c r="F55" s="62"/>
      <c r="G55" s="119"/>
      <c r="H55" s="120"/>
      <c r="I55" s="24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ht="13.5" customHeight="1">
      <c r="A56" s="116" t="s">
        <v>645</v>
      </c>
      <c r="B56" s="91"/>
      <c r="C56" s="165"/>
      <c r="D56" s="121">
        <v>0.5</v>
      </c>
      <c r="E56" s="122" t="s">
        <v>153</v>
      </c>
      <c r="F56" s="122"/>
      <c r="G56" s="123"/>
      <c r="H56" s="124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3.5" customHeight="1">
      <c r="A57" s="125" t="s">
        <v>646</v>
      </c>
      <c r="B57" s="23"/>
      <c r="C57" s="72"/>
      <c r="D57" s="121">
        <v>0.0</v>
      </c>
      <c r="E57" s="122" t="s">
        <v>155</v>
      </c>
      <c r="F57" s="122"/>
      <c r="G57" s="123"/>
      <c r="H57" s="124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3.5" customHeight="1">
      <c r="A58" s="127" t="s">
        <v>647</v>
      </c>
      <c r="B58" s="23"/>
      <c r="C58" s="72"/>
      <c r="D58" s="129"/>
      <c r="E58" s="65"/>
      <c r="F58" s="65"/>
      <c r="G58" s="130"/>
      <c r="H58" s="131"/>
      <c r="I58" s="24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3.5" customHeight="1">
      <c r="A59" s="127" t="s">
        <v>648</v>
      </c>
      <c r="B59" s="23"/>
      <c r="C59" s="72"/>
      <c r="D59" s="71"/>
      <c r="E59" s="23"/>
      <c r="F59" s="23"/>
      <c r="G59" s="23"/>
      <c r="H59" s="72"/>
      <c r="I59" s="24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3.5" customHeight="1">
      <c r="A60" s="127" t="s">
        <v>649</v>
      </c>
      <c r="B60" s="23"/>
      <c r="C60" s="72"/>
      <c r="D60" s="23"/>
      <c r="E60" s="23"/>
      <c r="F60" s="23"/>
      <c r="G60" s="23"/>
      <c r="H60" s="72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3.5" customHeight="1">
      <c r="A61" s="127" t="s">
        <v>650</v>
      </c>
      <c r="B61" s="23"/>
      <c r="C61" s="72"/>
      <c r="D61" s="23"/>
      <c r="E61" s="23"/>
      <c r="F61" s="23"/>
      <c r="G61" s="23"/>
      <c r="H61" s="72"/>
      <c r="I61" s="24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3.5" customHeight="1">
      <c r="A62" s="127" t="s">
        <v>651</v>
      </c>
      <c r="B62" s="23"/>
      <c r="C62" s="72"/>
      <c r="D62" s="23"/>
      <c r="E62" s="23"/>
      <c r="F62" s="23"/>
      <c r="G62" s="23"/>
      <c r="H62" s="72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3.5" customHeight="1">
      <c r="A63" s="132" t="s">
        <v>161</v>
      </c>
      <c r="B63" s="134" t="s">
        <v>163</v>
      </c>
      <c r="C63" s="72"/>
      <c r="D63" s="23"/>
      <c r="E63" s="23"/>
      <c r="F63" s="23"/>
      <c r="G63" s="23"/>
      <c r="H63" s="72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3.5" customHeight="1">
      <c r="A64" s="125" t="s">
        <v>652</v>
      </c>
      <c r="B64" s="23"/>
      <c r="C64" s="72"/>
      <c r="D64" s="23"/>
      <c r="E64" s="23"/>
      <c r="F64" s="23"/>
      <c r="G64" s="23"/>
      <c r="H64" s="72"/>
      <c r="I64" s="24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3.5" customHeight="1">
      <c r="A65" s="71" t="s">
        <v>164</v>
      </c>
      <c r="B65" s="135" t="s">
        <v>165</v>
      </c>
      <c r="C65" s="462"/>
      <c r="D65" s="23"/>
      <c r="E65" s="23"/>
      <c r="F65" s="23"/>
      <c r="G65" s="23"/>
      <c r="H65" s="72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3.5" customHeight="1">
      <c r="A66" s="71" t="s">
        <v>166</v>
      </c>
      <c r="B66" s="135" t="s">
        <v>167</v>
      </c>
      <c r="C66" s="462"/>
      <c r="D66" s="23"/>
      <c r="E66" s="23"/>
      <c r="F66" s="23"/>
      <c r="G66" s="23"/>
      <c r="H66" s="72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3.5" customHeight="1">
      <c r="A67" s="71" t="s">
        <v>168</v>
      </c>
      <c r="B67" s="135" t="s">
        <v>169</v>
      </c>
      <c r="C67" s="462"/>
      <c r="D67" s="23"/>
      <c r="E67" s="23"/>
      <c r="F67" s="23"/>
      <c r="G67" s="23"/>
      <c r="H67" s="72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3.5" customHeight="1">
      <c r="A68" s="71" t="s">
        <v>170</v>
      </c>
      <c r="B68" s="23" t="s">
        <v>171</v>
      </c>
      <c r="C68" s="72"/>
      <c r="D68" s="23"/>
      <c r="E68" s="23"/>
      <c r="F68" s="23"/>
      <c r="G68" s="23"/>
      <c r="H68" s="72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3.5" customHeight="1">
      <c r="A69" s="86" t="s">
        <v>172</v>
      </c>
      <c r="B69" s="87" t="s">
        <v>173</v>
      </c>
      <c r="C69" s="136"/>
      <c r="D69" s="87"/>
      <c r="E69" s="87"/>
      <c r="F69" s="87"/>
      <c r="G69" s="87"/>
      <c r="H69" s="136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3.5" customHeight="1">
      <c r="A70" s="456" t="s">
        <v>174</v>
      </c>
      <c r="B70" s="28"/>
      <c r="C70" s="28"/>
      <c r="D70" s="28"/>
      <c r="E70" s="28"/>
      <c r="F70" s="28"/>
      <c r="G70" s="28"/>
      <c r="H70" s="458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3.5" customHeight="1">
      <c r="A71" s="64" t="s">
        <v>175</v>
      </c>
      <c r="B71" s="65"/>
      <c r="C71" s="65"/>
      <c r="D71" s="65"/>
      <c r="E71" s="65"/>
      <c r="F71" s="65"/>
      <c r="G71" s="65"/>
      <c r="H71" s="67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3.5" customHeight="1">
      <c r="A72" s="64" t="s">
        <v>176</v>
      </c>
      <c r="B72" s="65"/>
      <c r="C72" s="65"/>
      <c r="D72" s="65"/>
      <c r="E72" s="65"/>
      <c r="F72" s="65"/>
      <c r="G72" s="65"/>
      <c r="H72" s="67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3.5" customHeight="1">
      <c r="A73" s="64" t="s">
        <v>177</v>
      </c>
      <c r="B73" s="65"/>
      <c r="C73" s="65"/>
      <c r="D73" s="65"/>
      <c r="E73" s="65"/>
      <c r="F73" s="65"/>
      <c r="G73" s="65"/>
      <c r="H73" s="67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3.5" customHeight="1">
      <c r="A74" s="64" t="s">
        <v>653</v>
      </c>
      <c r="B74" s="65"/>
      <c r="C74" s="65"/>
      <c r="D74" s="65"/>
      <c r="E74" s="65"/>
      <c r="F74" s="65"/>
      <c r="G74" s="65"/>
      <c r="H74" s="67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0" customHeight="1">
      <c r="A75" s="60" t="s">
        <v>179</v>
      </c>
      <c r="H75" s="61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3.5" customHeight="1">
      <c r="A76" s="137" t="s">
        <v>180</v>
      </c>
      <c r="H76" s="61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3.5" customHeight="1">
      <c r="A77" s="138" t="s">
        <v>181</v>
      </c>
      <c r="B77" s="65"/>
      <c r="C77" s="65"/>
      <c r="D77" s="65"/>
      <c r="E77" s="65"/>
      <c r="F77" s="65"/>
      <c r="G77" s="65"/>
      <c r="H77" s="67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3.5" customHeight="1">
      <c r="A78" s="64" t="s">
        <v>182</v>
      </c>
      <c r="B78" s="65"/>
      <c r="C78" s="65"/>
      <c r="D78" s="65"/>
      <c r="E78" s="65"/>
      <c r="F78" s="65"/>
      <c r="G78" s="65"/>
      <c r="H78" s="67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26.25" customHeight="1">
      <c r="A79" s="78" t="s">
        <v>654</v>
      </c>
      <c r="B79" s="45"/>
      <c r="C79" s="45"/>
      <c r="D79" s="45"/>
      <c r="E79" s="45"/>
      <c r="F79" s="45"/>
      <c r="G79" s="45"/>
      <c r="H79" s="46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4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3.5" customHeight="1">
      <c r="A271" s="23"/>
      <c r="B271" s="23"/>
      <c r="C271" s="23"/>
      <c r="D271" s="23"/>
      <c r="E271" s="23"/>
      <c r="F271" s="23"/>
      <c r="G271" s="23"/>
      <c r="H271" s="23"/>
      <c r="I271" s="24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3.5" customHeight="1">
      <c r="A272" s="23"/>
      <c r="B272" s="23"/>
      <c r="C272" s="23"/>
      <c r="D272" s="23"/>
      <c r="E272" s="23"/>
      <c r="F272" s="23"/>
      <c r="G272" s="23"/>
      <c r="H272" s="23"/>
      <c r="I272" s="24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3.5" customHeight="1">
      <c r="A273" s="23"/>
      <c r="B273" s="23"/>
      <c r="C273" s="23"/>
      <c r="D273" s="23"/>
      <c r="E273" s="23"/>
      <c r="F273" s="23"/>
      <c r="G273" s="23"/>
      <c r="H273" s="23"/>
      <c r="I273" s="24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3.5" customHeight="1">
      <c r="A274" s="23"/>
      <c r="B274" s="23"/>
      <c r="C274" s="23"/>
      <c r="D274" s="23"/>
      <c r="E274" s="23"/>
      <c r="F274" s="23"/>
      <c r="G274" s="23"/>
      <c r="H274" s="23"/>
      <c r="I274" s="24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3.5" customHeight="1">
      <c r="A275" s="23"/>
      <c r="B275" s="23"/>
      <c r="C275" s="23"/>
      <c r="D275" s="23"/>
      <c r="E275" s="23"/>
      <c r="F275" s="23"/>
      <c r="G275" s="23"/>
      <c r="H275" s="23"/>
      <c r="I275" s="24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3.5" customHeight="1">
      <c r="A276" s="23"/>
      <c r="B276" s="23"/>
      <c r="C276" s="23"/>
      <c r="D276" s="23"/>
      <c r="E276" s="23"/>
      <c r="F276" s="23"/>
      <c r="G276" s="23"/>
      <c r="H276" s="23"/>
      <c r="I276" s="24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3.5" customHeight="1">
      <c r="A277" s="23"/>
      <c r="B277" s="23"/>
      <c r="C277" s="23"/>
      <c r="D277" s="23"/>
      <c r="E277" s="23"/>
      <c r="F277" s="23"/>
      <c r="G277" s="23"/>
      <c r="H277" s="23"/>
      <c r="I277" s="24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3.5" customHeight="1">
      <c r="A278" s="23"/>
      <c r="B278" s="23"/>
      <c r="C278" s="23"/>
      <c r="D278" s="23"/>
      <c r="E278" s="23"/>
      <c r="F278" s="23"/>
      <c r="G278" s="23"/>
      <c r="H278" s="23"/>
      <c r="I278" s="24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3.5" customHeight="1">
      <c r="A279" s="23"/>
      <c r="B279" s="23"/>
      <c r="C279" s="23"/>
      <c r="D279" s="23"/>
      <c r="E279" s="23"/>
      <c r="F279" s="23"/>
      <c r="G279" s="23"/>
      <c r="H279" s="23"/>
      <c r="I279" s="24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D6:E7"/>
    <mergeCell ref="F6:G6"/>
    <mergeCell ref="F7:G7"/>
    <mergeCell ref="A2:C2"/>
    <mergeCell ref="A3:C3"/>
    <mergeCell ref="A4:A5"/>
    <mergeCell ref="B4:B5"/>
    <mergeCell ref="C4:C5"/>
    <mergeCell ref="D4:H4"/>
    <mergeCell ref="A6:A7"/>
    <mergeCell ref="H6:H7"/>
    <mergeCell ref="B6:B7"/>
    <mergeCell ref="C6:C7"/>
    <mergeCell ref="A16:A18"/>
    <mergeCell ref="A28:A30"/>
    <mergeCell ref="A31:H31"/>
    <mergeCell ref="A32:B32"/>
    <mergeCell ref="C32:H32"/>
    <mergeCell ref="A70:H70"/>
    <mergeCell ref="A75:H75"/>
    <mergeCell ref="A76:H76"/>
    <mergeCell ref="A79:H79"/>
    <mergeCell ref="A33:B33"/>
    <mergeCell ref="A36:B36"/>
    <mergeCell ref="A37:B37"/>
    <mergeCell ref="A38:B38"/>
    <mergeCell ref="A49:H49"/>
    <mergeCell ref="A54:C54"/>
    <mergeCell ref="D54:H54"/>
  </mergeCells>
  <printOptions/>
  <pageMargins bottom="0.0" footer="0.0" header="0.0" left="0.1968503937007874" right="0.0" top="0.1968503937007874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7.43"/>
    <col customWidth="1" min="3" max="3" width="26.71"/>
    <col customWidth="1" min="4" max="4" width="9.71"/>
    <col customWidth="1" min="5" max="5" width="8.71"/>
    <col customWidth="1" min="6" max="6" width="11.71"/>
    <col customWidth="1" min="7" max="7" width="12.29"/>
    <col customWidth="1" min="8" max="8" width="7.71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655</v>
      </c>
      <c r="B2" s="26"/>
      <c r="C2" s="26"/>
      <c r="D2" s="402"/>
      <c r="E2" s="402"/>
      <c r="F2" s="391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613</v>
      </c>
      <c r="B3" s="28"/>
      <c r="C3" s="28"/>
      <c r="D3" s="29" t="s">
        <v>72</v>
      </c>
      <c r="E3" s="533"/>
      <c r="F3" s="23"/>
      <c r="G3" s="23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2"/>
      <c r="B5" s="32"/>
      <c r="C5" s="32"/>
      <c r="D5" s="405" t="s">
        <v>76</v>
      </c>
      <c r="E5" s="405" t="s">
        <v>77</v>
      </c>
      <c r="F5" s="405" t="s">
        <v>78</v>
      </c>
      <c r="G5" s="405" t="s">
        <v>79</v>
      </c>
      <c r="H5" s="405" t="s">
        <v>80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8.75" customHeight="1">
      <c r="A6" s="140"/>
      <c r="B6" s="406"/>
      <c r="C6" s="141"/>
      <c r="D6" s="40" t="s">
        <v>82</v>
      </c>
      <c r="E6" s="39"/>
      <c r="F6" s="41" t="s">
        <v>83</v>
      </c>
      <c r="G6" s="26"/>
      <c r="H6" s="142" t="s">
        <v>186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1.25" customHeight="1">
      <c r="A7" s="108"/>
      <c r="C7" s="61"/>
      <c r="D7" s="465"/>
      <c r="E7" s="61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588" t="s">
        <v>656</v>
      </c>
      <c r="B8" s="406"/>
      <c r="C8" s="418" t="s">
        <v>657</v>
      </c>
      <c r="D8" s="52">
        <v>5700.0</v>
      </c>
      <c r="E8" s="53">
        <f t="shared" ref="E8:E12" si="1">SUM(D8)</f>
        <v>5700</v>
      </c>
      <c r="F8" s="53">
        <f t="shared" ref="F8:F12" si="2">D8-(D8*0.2)</f>
        <v>4560</v>
      </c>
      <c r="G8" s="53">
        <f t="shared" ref="G8:G12" si="3">E8-(E8*0.3)</f>
        <v>3990</v>
      </c>
      <c r="H8" s="53">
        <v>500.0</v>
      </c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411" t="s">
        <v>355</v>
      </c>
      <c r="B9" s="496" t="s">
        <v>356</v>
      </c>
      <c r="C9" s="418" t="s">
        <v>615</v>
      </c>
      <c r="D9" s="52">
        <v>4900.0</v>
      </c>
      <c r="E9" s="53">
        <f t="shared" si="1"/>
        <v>4900</v>
      </c>
      <c r="F9" s="53">
        <f t="shared" si="2"/>
        <v>3920</v>
      </c>
      <c r="G9" s="53">
        <f t="shared" si="3"/>
        <v>3430</v>
      </c>
      <c r="H9" s="53">
        <v>500.0</v>
      </c>
      <c r="I9" s="5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579" t="s">
        <v>616</v>
      </c>
      <c r="B10" s="412" t="s">
        <v>658</v>
      </c>
      <c r="C10" s="413" t="s">
        <v>618</v>
      </c>
      <c r="D10" s="52">
        <v>4700.0</v>
      </c>
      <c r="E10" s="53">
        <f t="shared" si="1"/>
        <v>4700</v>
      </c>
      <c r="F10" s="53">
        <f t="shared" si="2"/>
        <v>3760</v>
      </c>
      <c r="G10" s="53">
        <f t="shared" si="3"/>
        <v>3290</v>
      </c>
      <c r="H10" s="53">
        <v>500.0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579"/>
      <c r="B11" s="412"/>
      <c r="C11" s="413" t="s">
        <v>619</v>
      </c>
      <c r="D11" s="52">
        <v>4900.0</v>
      </c>
      <c r="E11" s="53">
        <f t="shared" si="1"/>
        <v>4900</v>
      </c>
      <c r="F11" s="53">
        <f t="shared" si="2"/>
        <v>3920</v>
      </c>
      <c r="G11" s="53">
        <f t="shared" si="3"/>
        <v>3430</v>
      </c>
      <c r="H11" s="53">
        <v>500.0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6.5" customHeight="1">
      <c r="A12" s="580"/>
      <c r="B12" s="527"/>
      <c r="C12" s="413" t="s">
        <v>620</v>
      </c>
      <c r="D12" s="52">
        <v>5650.0</v>
      </c>
      <c r="E12" s="53">
        <f t="shared" si="1"/>
        <v>5650</v>
      </c>
      <c r="F12" s="53">
        <f t="shared" si="2"/>
        <v>4520</v>
      </c>
      <c r="G12" s="53">
        <f t="shared" si="3"/>
        <v>3955</v>
      </c>
      <c r="H12" s="53">
        <v>500.0</v>
      </c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4.5" customHeight="1">
      <c r="A13" s="581"/>
      <c r="B13" s="582"/>
      <c r="C13" s="582"/>
      <c r="D13" s="582"/>
      <c r="E13" s="582"/>
      <c r="F13" s="582"/>
      <c r="G13" s="582"/>
      <c r="H13" s="583"/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588" t="s">
        <v>659</v>
      </c>
      <c r="B14" s="517"/>
      <c r="C14" s="418" t="s">
        <v>657</v>
      </c>
      <c r="D14" s="52">
        <v>7150.0</v>
      </c>
      <c r="E14" s="53">
        <f t="shared" ref="E14:E18" si="4">SUM(D14)</f>
        <v>7150</v>
      </c>
      <c r="F14" s="53">
        <f t="shared" ref="F14:F18" si="5">D14-(D14*0.2)</f>
        <v>5720</v>
      </c>
      <c r="G14" s="53">
        <f t="shared" ref="G14:G18" si="6">E14-(E14*0.3)</f>
        <v>5005</v>
      </c>
      <c r="H14" s="53">
        <v>500.0</v>
      </c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411" t="s">
        <v>355</v>
      </c>
      <c r="B15" s="412" t="s">
        <v>356</v>
      </c>
      <c r="C15" s="413" t="s">
        <v>615</v>
      </c>
      <c r="D15" s="52">
        <v>6680.0</v>
      </c>
      <c r="E15" s="53">
        <f t="shared" si="4"/>
        <v>6680</v>
      </c>
      <c r="F15" s="53">
        <f t="shared" si="5"/>
        <v>5344</v>
      </c>
      <c r="G15" s="53">
        <f t="shared" si="6"/>
        <v>4676</v>
      </c>
      <c r="H15" s="53">
        <v>500.0</v>
      </c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414" t="s">
        <v>622</v>
      </c>
      <c r="B16" s="412" t="s">
        <v>658</v>
      </c>
      <c r="C16" s="413" t="s">
        <v>618</v>
      </c>
      <c r="D16" s="52">
        <v>6350.0</v>
      </c>
      <c r="E16" s="53">
        <f t="shared" si="4"/>
        <v>6350</v>
      </c>
      <c r="F16" s="53">
        <f t="shared" si="5"/>
        <v>5080</v>
      </c>
      <c r="G16" s="53">
        <f t="shared" si="6"/>
        <v>4445</v>
      </c>
      <c r="H16" s="53">
        <v>500.0</v>
      </c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6.5" customHeight="1">
      <c r="A17" s="415"/>
      <c r="B17" s="412"/>
      <c r="C17" s="413" t="s">
        <v>619</v>
      </c>
      <c r="D17" s="52">
        <v>6680.0</v>
      </c>
      <c r="E17" s="53">
        <f t="shared" si="4"/>
        <v>6680</v>
      </c>
      <c r="F17" s="53">
        <f t="shared" si="5"/>
        <v>5344</v>
      </c>
      <c r="G17" s="53">
        <f t="shared" si="6"/>
        <v>4676</v>
      </c>
      <c r="H17" s="53">
        <v>500.0</v>
      </c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6.5" customHeight="1">
      <c r="A18" s="495"/>
      <c r="B18" s="412"/>
      <c r="C18" s="413" t="s">
        <v>620</v>
      </c>
      <c r="D18" s="52">
        <v>7680.0</v>
      </c>
      <c r="E18" s="53">
        <f t="shared" si="4"/>
        <v>7680</v>
      </c>
      <c r="F18" s="53">
        <f t="shared" si="5"/>
        <v>6144</v>
      </c>
      <c r="G18" s="53">
        <f t="shared" si="6"/>
        <v>5376</v>
      </c>
      <c r="H18" s="53">
        <v>500.0</v>
      </c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3.75" customHeight="1">
      <c r="A19" s="499"/>
      <c r="B19" s="584"/>
      <c r="C19" s="584"/>
      <c r="D19" s="584"/>
      <c r="E19" s="584"/>
      <c r="F19" s="584"/>
      <c r="G19" s="584"/>
      <c r="H19" s="585"/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6.5" customHeight="1">
      <c r="A20" s="588" t="s">
        <v>660</v>
      </c>
      <c r="B20" s="517"/>
      <c r="C20" s="418" t="s">
        <v>657</v>
      </c>
      <c r="D20" s="52">
        <v>7350.0</v>
      </c>
      <c r="E20" s="53">
        <f t="shared" ref="E20:E24" si="7">SUM(D20)</f>
        <v>7350</v>
      </c>
      <c r="F20" s="53">
        <f t="shared" ref="F20:F24" si="8">D20-(D20*0.2)</f>
        <v>5880</v>
      </c>
      <c r="G20" s="53">
        <f t="shared" ref="G20:G24" si="9">E20-(E20*0.3)</f>
        <v>5145</v>
      </c>
      <c r="H20" s="53">
        <v>500.0</v>
      </c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6.5" customHeight="1">
      <c r="A21" s="423" t="s">
        <v>355</v>
      </c>
      <c r="B21" s="412" t="s">
        <v>356</v>
      </c>
      <c r="C21" s="413" t="s">
        <v>615</v>
      </c>
      <c r="D21" s="52">
        <v>6850.0</v>
      </c>
      <c r="E21" s="53">
        <f t="shared" si="7"/>
        <v>6850</v>
      </c>
      <c r="F21" s="53">
        <f t="shared" si="8"/>
        <v>5480</v>
      </c>
      <c r="G21" s="53">
        <f t="shared" si="9"/>
        <v>4795</v>
      </c>
      <c r="H21" s="53">
        <v>500.0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6.5" customHeight="1">
      <c r="A22" s="424" t="s">
        <v>625</v>
      </c>
      <c r="B22" s="412" t="s">
        <v>658</v>
      </c>
      <c r="C22" s="413" t="s">
        <v>618</v>
      </c>
      <c r="D22" s="52">
        <v>6450.0</v>
      </c>
      <c r="E22" s="53">
        <f t="shared" si="7"/>
        <v>6450</v>
      </c>
      <c r="F22" s="53">
        <f t="shared" si="8"/>
        <v>5160</v>
      </c>
      <c r="G22" s="53">
        <f t="shared" si="9"/>
        <v>4515</v>
      </c>
      <c r="H22" s="53">
        <v>500.0</v>
      </c>
      <c r="I22" s="5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6.5" customHeight="1">
      <c r="A23" s="586"/>
      <c r="B23" s="412"/>
      <c r="C23" s="413" t="s">
        <v>619</v>
      </c>
      <c r="D23" s="52">
        <v>6850.0</v>
      </c>
      <c r="E23" s="53">
        <f t="shared" si="7"/>
        <v>6850</v>
      </c>
      <c r="F23" s="53">
        <f t="shared" si="8"/>
        <v>5480</v>
      </c>
      <c r="G23" s="53">
        <f t="shared" si="9"/>
        <v>4795</v>
      </c>
      <c r="H23" s="53">
        <v>500.0</v>
      </c>
      <c r="I23" s="5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6.5" customHeight="1">
      <c r="A24" s="424"/>
      <c r="B24" s="412"/>
      <c r="C24" s="413" t="s">
        <v>620</v>
      </c>
      <c r="D24" s="52">
        <v>7880.0</v>
      </c>
      <c r="E24" s="53">
        <f t="shared" si="7"/>
        <v>7880</v>
      </c>
      <c r="F24" s="53">
        <f t="shared" si="8"/>
        <v>6304</v>
      </c>
      <c r="G24" s="53">
        <f t="shared" si="9"/>
        <v>5516</v>
      </c>
      <c r="H24" s="53">
        <v>500.0</v>
      </c>
      <c r="I24" s="5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4.5" customHeight="1">
      <c r="A25" s="581"/>
      <c r="B25" s="582"/>
      <c r="C25" s="582"/>
      <c r="D25" s="582"/>
      <c r="E25" s="582"/>
      <c r="F25" s="582"/>
      <c r="G25" s="582"/>
      <c r="H25" s="583"/>
      <c r="I25" s="5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6.5" customHeight="1">
      <c r="A26" s="588" t="s">
        <v>661</v>
      </c>
      <c r="B26" s="517"/>
      <c r="C26" s="418" t="s">
        <v>657</v>
      </c>
      <c r="D26" s="52">
        <v>7780.0</v>
      </c>
      <c r="E26" s="53">
        <f t="shared" ref="E26:E30" si="10">SUM(D26)</f>
        <v>7780</v>
      </c>
      <c r="F26" s="53">
        <f t="shared" ref="F26:F30" si="11">D26-(D26*0.2)</f>
        <v>6224</v>
      </c>
      <c r="G26" s="53">
        <f t="shared" ref="G26:G30" si="12">E26-(E26*0.3)</f>
        <v>5446</v>
      </c>
      <c r="H26" s="53">
        <v>500.0</v>
      </c>
      <c r="I26" s="55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6.5" customHeight="1">
      <c r="A27" s="423" t="s">
        <v>355</v>
      </c>
      <c r="B27" s="412" t="s">
        <v>356</v>
      </c>
      <c r="C27" s="413" t="s">
        <v>615</v>
      </c>
      <c r="D27" s="52">
        <v>7280.0</v>
      </c>
      <c r="E27" s="53">
        <f t="shared" si="10"/>
        <v>7280</v>
      </c>
      <c r="F27" s="53">
        <f t="shared" si="11"/>
        <v>5824</v>
      </c>
      <c r="G27" s="53">
        <f t="shared" si="12"/>
        <v>5096</v>
      </c>
      <c r="H27" s="53">
        <v>500.0</v>
      </c>
      <c r="I27" s="55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6.5" customHeight="1">
      <c r="A28" s="509" t="s">
        <v>627</v>
      </c>
      <c r="B28" s="412" t="s">
        <v>658</v>
      </c>
      <c r="C28" s="413" t="s">
        <v>618</v>
      </c>
      <c r="D28" s="52">
        <v>6850.0</v>
      </c>
      <c r="E28" s="53">
        <f t="shared" si="10"/>
        <v>6850</v>
      </c>
      <c r="F28" s="53">
        <f t="shared" si="11"/>
        <v>5480</v>
      </c>
      <c r="G28" s="53">
        <f t="shared" si="12"/>
        <v>4795</v>
      </c>
      <c r="H28" s="53">
        <v>500.0</v>
      </c>
      <c r="I28" s="55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6.5" customHeight="1">
      <c r="A29" s="415"/>
      <c r="B29" s="412"/>
      <c r="C29" s="413" t="s">
        <v>619</v>
      </c>
      <c r="D29" s="52">
        <v>7280.0</v>
      </c>
      <c r="E29" s="53">
        <f t="shared" si="10"/>
        <v>7280</v>
      </c>
      <c r="F29" s="53">
        <f t="shared" si="11"/>
        <v>5824</v>
      </c>
      <c r="G29" s="53">
        <f t="shared" si="12"/>
        <v>5096</v>
      </c>
      <c r="H29" s="53">
        <v>500.0</v>
      </c>
      <c r="I29" s="55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6.5" customHeight="1">
      <c r="A30" s="567"/>
      <c r="B30" s="412"/>
      <c r="C30" s="413" t="s">
        <v>620</v>
      </c>
      <c r="D30" s="52">
        <v>8380.0</v>
      </c>
      <c r="E30" s="53">
        <f t="shared" si="10"/>
        <v>8380</v>
      </c>
      <c r="F30" s="53">
        <f t="shared" si="11"/>
        <v>6704</v>
      </c>
      <c r="G30" s="53">
        <f t="shared" si="12"/>
        <v>5866</v>
      </c>
      <c r="H30" s="53">
        <v>500.0</v>
      </c>
      <c r="I30" s="55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4.0" customHeight="1">
      <c r="A31" s="484" t="s">
        <v>373</v>
      </c>
      <c r="B31" s="485"/>
      <c r="C31" s="485"/>
      <c r="D31" s="485"/>
      <c r="E31" s="485"/>
      <c r="F31" s="485"/>
      <c r="G31" s="485"/>
      <c r="H31" s="486"/>
      <c r="I31" s="434"/>
      <c r="J31" s="24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6.5" customHeight="1">
      <c r="A32" s="404" t="s">
        <v>96</v>
      </c>
      <c r="B32" s="6"/>
      <c r="C32" s="435" t="s">
        <v>97</v>
      </c>
      <c r="D32" s="5"/>
      <c r="E32" s="5"/>
      <c r="F32" s="5"/>
      <c r="G32" s="5"/>
      <c r="H32" s="6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0" customHeight="1">
      <c r="A33" s="152" t="s">
        <v>98</v>
      </c>
      <c r="B33" s="39"/>
      <c r="C33" s="62" t="s">
        <v>99</v>
      </c>
      <c r="D33" s="62"/>
      <c r="E33" s="62"/>
      <c r="F33" s="62"/>
      <c r="G33" s="62"/>
      <c r="H33" s="63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2.0" customHeight="1">
      <c r="A34" s="64" t="s">
        <v>246</v>
      </c>
      <c r="B34" s="66"/>
      <c r="C34" s="65" t="s">
        <v>101</v>
      </c>
      <c r="D34" s="65"/>
      <c r="E34" s="65"/>
      <c r="F34" s="65"/>
      <c r="G34" s="65"/>
      <c r="H34" s="67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0" customHeight="1">
      <c r="A35" s="436" t="s">
        <v>417</v>
      </c>
      <c r="B35" s="66"/>
      <c r="C35" s="70" t="s">
        <v>628</v>
      </c>
      <c r="D35" s="65"/>
      <c r="E35" s="65"/>
      <c r="F35" s="65"/>
      <c r="G35" s="65"/>
      <c r="H35" s="67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0" customHeight="1">
      <c r="A36" s="60" t="s">
        <v>376</v>
      </c>
      <c r="B36" s="61"/>
      <c r="C36" s="68" t="s">
        <v>105</v>
      </c>
      <c r="D36" s="65"/>
      <c r="E36" s="65"/>
      <c r="F36" s="65"/>
      <c r="G36" s="65"/>
      <c r="H36" s="67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2.0" customHeight="1">
      <c r="A37" s="69" t="s">
        <v>104</v>
      </c>
      <c r="B37" s="61"/>
      <c r="C37" s="437" t="s">
        <v>377</v>
      </c>
      <c r="D37" s="74"/>
      <c r="E37" s="74"/>
      <c r="F37" s="74"/>
      <c r="G37" s="74"/>
      <c r="H37" s="75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0" customHeight="1">
      <c r="A38" s="69" t="s">
        <v>629</v>
      </c>
      <c r="B38" s="61"/>
      <c r="C38" s="68" t="s">
        <v>630</v>
      </c>
      <c r="D38" s="65"/>
      <c r="E38" s="65"/>
      <c r="F38" s="65"/>
      <c r="G38" s="65"/>
      <c r="H38" s="67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2.0" customHeight="1">
      <c r="A39" s="573" t="s">
        <v>662</v>
      </c>
      <c r="B39" s="77"/>
      <c r="C39" s="68"/>
      <c r="D39" s="65"/>
      <c r="E39" s="65"/>
      <c r="F39" s="65"/>
      <c r="G39" s="65"/>
      <c r="H39" s="67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0" customHeight="1">
      <c r="A40" s="71" t="s">
        <v>663</v>
      </c>
      <c r="B40" s="72"/>
      <c r="C40" s="68"/>
      <c r="D40" s="65"/>
      <c r="E40" s="65"/>
      <c r="F40" s="65"/>
      <c r="G40" s="65"/>
      <c r="H40" s="67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2.0" customHeight="1">
      <c r="A41" s="71" t="s">
        <v>633</v>
      </c>
      <c r="B41" s="72"/>
      <c r="C41" s="68"/>
      <c r="D41" s="65"/>
      <c r="E41" s="65"/>
      <c r="F41" s="65"/>
      <c r="G41" s="65"/>
      <c r="H41" s="67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2.0" customHeight="1">
      <c r="A42" s="71" t="s">
        <v>664</v>
      </c>
      <c r="B42" s="72"/>
      <c r="C42" s="23"/>
      <c r="D42" s="65"/>
      <c r="E42" s="65"/>
      <c r="F42" s="65"/>
      <c r="G42" s="65"/>
      <c r="H42" s="67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2.0" customHeight="1">
      <c r="A43" s="71" t="s">
        <v>665</v>
      </c>
      <c r="B43" s="72"/>
      <c r="C43" s="23"/>
      <c r="D43" s="65"/>
      <c r="E43" s="65"/>
      <c r="F43" s="65"/>
      <c r="G43" s="65"/>
      <c r="H43" s="67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2.0" customHeight="1">
      <c r="A44" s="71" t="s">
        <v>666</v>
      </c>
      <c r="B44" s="72"/>
      <c r="C44" s="530" t="s">
        <v>384</v>
      </c>
      <c r="D44" s="531"/>
      <c r="E44" s="531"/>
      <c r="F44" s="531"/>
      <c r="G44" s="531"/>
      <c r="H44" s="532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0" customHeight="1">
      <c r="A45" s="71" t="s">
        <v>637</v>
      </c>
      <c r="B45" s="72"/>
      <c r="C45" s="81" t="s">
        <v>386</v>
      </c>
      <c r="D45" s="62"/>
      <c r="E45" s="62"/>
      <c r="F45" s="62" t="s">
        <v>667</v>
      </c>
      <c r="G45" s="62"/>
      <c r="H45" s="63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0" customHeight="1">
      <c r="A46" s="71" t="s">
        <v>638</v>
      </c>
      <c r="B46" s="72"/>
      <c r="C46" s="575" t="s">
        <v>640</v>
      </c>
      <c r="D46" s="514"/>
      <c r="E46" s="514"/>
      <c r="F46" s="514" t="s">
        <v>668</v>
      </c>
      <c r="G46" s="65"/>
      <c r="H46" s="67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0" customHeight="1">
      <c r="A47" s="71"/>
      <c r="B47" s="72"/>
      <c r="C47" s="23"/>
      <c r="D47" s="65"/>
      <c r="E47" s="65"/>
      <c r="F47" s="65"/>
      <c r="G47" s="65"/>
      <c r="H47" s="67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2.0" customHeight="1">
      <c r="A48" s="587" t="s">
        <v>642</v>
      </c>
      <c r="B48" s="26"/>
      <c r="C48" s="26"/>
      <c r="D48" s="26"/>
      <c r="E48" s="26"/>
      <c r="F48" s="26"/>
      <c r="G48" s="26"/>
      <c r="H48" s="115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353" t="s">
        <v>114</v>
      </c>
      <c r="B49" s="23" t="s">
        <v>115</v>
      </c>
      <c r="C49" s="85" t="s">
        <v>137</v>
      </c>
      <c r="D49" s="65"/>
      <c r="E49" s="65"/>
      <c r="F49" s="65"/>
      <c r="G49" s="65"/>
      <c r="H49" s="67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355" t="s">
        <v>117</v>
      </c>
      <c r="B50" s="85" t="s">
        <v>224</v>
      </c>
      <c r="C50" s="85" t="s">
        <v>225</v>
      </c>
      <c r="D50" s="65"/>
      <c r="E50" s="65"/>
      <c r="F50" s="65"/>
      <c r="G50" s="65"/>
      <c r="H50" s="67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355" t="s">
        <v>121</v>
      </c>
      <c r="B51" s="85" t="s">
        <v>643</v>
      </c>
      <c r="C51" s="85" t="s">
        <v>227</v>
      </c>
      <c r="D51" s="65"/>
      <c r="E51" s="65"/>
      <c r="F51" s="65"/>
      <c r="G51" s="65"/>
      <c r="H51" s="67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355" t="s">
        <v>194</v>
      </c>
      <c r="B52" s="85" t="s">
        <v>118</v>
      </c>
      <c r="C52" s="85" t="s">
        <v>225</v>
      </c>
      <c r="D52" s="65"/>
      <c r="E52" s="65"/>
      <c r="F52" s="65"/>
      <c r="G52" s="65"/>
      <c r="H52" s="67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355" t="s">
        <v>253</v>
      </c>
      <c r="B53" s="85" t="s">
        <v>122</v>
      </c>
      <c r="C53" s="85" t="s">
        <v>119</v>
      </c>
      <c r="D53" s="65"/>
      <c r="E53" s="65"/>
      <c r="F53" s="65"/>
      <c r="G53" s="65"/>
      <c r="H53" s="67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404" t="s">
        <v>148</v>
      </c>
      <c r="B54" s="5"/>
      <c r="C54" s="5"/>
      <c r="D54" s="492" t="s">
        <v>149</v>
      </c>
      <c r="E54" s="5"/>
      <c r="F54" s="5"/>
      <c r="G54" s="5"/>
      <c r="H54" s="6"/>
      <c r="I54" s="24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ht="13.5" customHeight="1">
      <c r="A55" s="459" t="s">
        <v>669</v>
      </c>
      <c r="B55" s="460"/>
      <c r="C55" s="461"/>
      <c r="D55" s="118">
        <v>1.0</v>
      </c>
      <c r="E55" s="62" t="s">
        <v>151</v>
      </c>
      <c r="F55" s="62"/>
      <c r="G55" s="119"/>
      <c r="H55" s="120"/>
      <c r="I55" s="24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ht="13.5" customHeight="1">
      <c r="A56" s="116" t="s">
        <v>670</v>
      </c>
      <c r="B56" s="91"/>
      <c r="C56" s="165"/>
      <c r="D56" s="121">
        <v>0.5</v>
      </c>
      <c r="E56" s="122" t="s">
        <v>153</v>
      </c>
      <c r="F56" s="122"/>
      <c r="G56" s="123"/>
      <c r="H56" s="124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3.5" customHeight="1">
      <c r="A57" s="125" t="s">
        <v>671</v>
      </c>
      <c r="B57" s="23"/>
      <c r="C57" s="72"/>
      <c r="D57" s="121">
        <v>0.0</v>
      </c>
      <c r="E57" s="122" t="s">
        <v>155</v>
      </c>
      <c r="F57" s="122"/>
      <c r="G57" s="123"/>
      <c r="H57" s="124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3.5" customHeight="1">
      <c r="A58" s="127" t="s">
        <v>672</v>
      </c>
      <c r="B58" s="23"/>
      <c r="C58" s="72"/>
      <c r="D58" s="129"/>
      <c r="E58" s="65"/>
      <c r="F58" s="65"/>
      <c r="G58" s="130"/>
      <c r="H58" s="131"/>
      <c r="I58" s="24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3.5" customHeight="1">
      <c r="A59" s="127" t="s">
        <v>673</v>
      </c>
      <c r="B59" s="23"/>
      <c r="C59" s="72"/>
      <c r="D59" s="71"/>
      <c r="E59" s="23"/>
      <c r="F59" s="23"/>
      <c r="G59" s="23"/>
      <c r="H59" s="72"/>
      <c r="I59" s="24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3.5" customHeight="1">
      <c r="A60" s="127" t="s">
        <v>674</v>
      </c>
      <c r="B60" s="23"/>
      <c r="C60" s="72"/>
      <c r="D60" s="23"/>
      <c r="E60" s="23"/>
      <c r="F60" s="23"/>
      <c r="G60" s="23"/>
      <c r="H60" s="72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3.5" customHeight="1">
      <c r="A61" s="127" t="s">
        <v>675</v>
      </c>
      <c r="B61" s="23"/>
      <c r="C61" s="72"/>
      <c r="D61" s="23"/>
      <c r="E61" s="23"/>
      <c r="F61" s="23"/>
      <c r="G61" s="23"/>
      <c r="H61" s="72"/>
      <c r="I61" s="24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3.5" customHeight="1">
      <c r="A62" s="127" t="s">
        <v>676</v>
      </c>
      <c r="B62" s="23"/>
      <c r="C62" s="72"/>
      <c r="D62" s="23"/>
      <c r="E62" s="23"/>
      <c r="F62" s="23"/>
      <c r="G62" s="23"/>
      <c r="H62" s="72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3.5" customHeight="1">
      <c r="A63" s="132" t="s">
        <v>161</v>
      </c>
      <c r="B63" s="134" t="s">
        <v>163</v>
      </c>
      <c r="C63" s="72"/>
      <c r="D63" s="23"/>
      <c r="E63" s="23"/>
      <c r="F63" s="23"/>
      <c r="G63" s="23"/>
      <c r="H63" s="72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3.5" customHeight="1">
      <c r="A64" s="125" t="s">
        <v>677</v>
      </c>
      <c r="B64" s="23"/>
      <c r="C64" s="72"/>
      <c r="D64" s="23"/>
      <c r="E64" s="23"/>
      <c r="F64" s="23"/>
      <c r="G64" s="23"/>
      <c r="H64" s="72"/>
      <c r="I64" s="24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3.5" customHeight="1">
      <c r="A65" s="71" t="s">
        <v>164</v>
      </c>
      <c r="B65" s="135" t="s">
        <v>165</v>
      </c>
      <c r="C65" s="462"/>
      <c r="D65" s="23"/>
      <c r="E65" s="23"/>
      <c r="F65" s="23"/>
      <c r="G65" s="23"/>
      <c r="H65" s="72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3.5" customHeight="1">
      <c r="A66" s="71" t="s">
        <v>166</v>
      </c>
      <c r="B66" s="135" t="s">
        <v>167</v>
      </c>
      <c r="C66" s="462"/>
      <c r="D66" s="23"/>
      <c r="E66" s="23"/>
      <c r="F66" s="23"/>
      <c r="G66" s="23"/>
      <c r="H66" s="72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3.5" customHeight="1">
      <c r="A67" s="71" t="s">
        <v>168</v>
      </c>
      <c r="B67" s="135" t="s">
        <v>169</v>
      </c>
      <c r="C67" s="462"/>
      <c r="D67" s="23"/>
      <c r="E67" s="23"/>
      <c r="F67" s="23"/>
      <c r="G67" s="23"/>
      <c r="H67" s="72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3.5" customHeight="1">
      <c r="A68" s="71" t="s">
        <v>170</v>
      </c>
      <c r="B68" s="23" t="s">
        <v>171</v>
      </c>
      <c r="C68" s="72"/>
      <c r="D68" s="23"/>
      <c r="E68" s="23"/>
      <c r="F68" s="23"/>
      <c r="G68" s="23"/>
      <c r="H68" s="72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3.5" customHeight="1">
      <c r="A69" s="86" t="s">
        <v>172</v>
      </c>
      <c r="B69" s="87" t="s">
        <v>173</v>
      </c>
      <c r="C69" s="136"/>
      <c r="D69" s="87"/>
      <c r="E69" s="87"/>
      <c r="F69" s="87"/>
      <c r="G69" s="87"/>
      <c r="H69" s="136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3.5" customHeight="1">
      <c r="A70" s="456" t="s">
        <v>174</v>
      </c>
      <c r="B70" s="28"/>
      <c r="C70" s="28"/>
      <c r="D70" s="28"/>
      <c r="E70" s="28"/>
      <c r="F70" s="28"/>
      <c r="G70" s="28"/>
      <c r="H70" s="458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3.5" customHeight="1">
      <c r="A71" s="64" t="s">
        <v>175</v>
      </c>
      <c r="B71" s="65"/>
      <c r="C71" s="65"/>
      <c r="D71" s="65"/>
      <c r="E71" s="65"/>
      <c r="F71" s="65"/>
      <c r="G71" s="65"/>
      <c r="H71" s="67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3.5" customHeight="1">
      <c r="A72" s="64" t="s">
        <v>176</v>
      </c>
      <c r="B72" s="65"/>
      <c r="C72" s="65"/>
      <c r="D72" s="65"/>
      <c r="E72" s="65"/>
      <c r="F72" s="65"/>
      <c r="G72" s="65"/>
      <c r="H72" s="67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3.5" customHeight="1">
      <c r="A73" s="64" t="s">
        <v>177</v>
      </c>
      <c r="B73" s="65"/>
      <c r="C73" s="65"/>
      <c r="D73" s="65"/>
      <c r="E73" s="65"/>
      <c r="F73" s="65"/>
      <c r="G73" s="65"/>
      <c r="H73" s="67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3.5" customHeight="1">
      <c r="A74" s="64" t="s">
        <v>678</v>
      </c>
      <c r="B74" s="65"/>
      <c r="C74" s="65"/>
      <c r="D74" s="65"/>
      <c r="E74" s="65"/>
      <c r="F74" s="65"/>
      <c r="G74" s="65"/>
      <c r="H74" s="67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0" customHeight="1">
      <c r="A75" s="60" t="s">
        <v>179</v>
      </c>
      <c r="H75" s="61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3.5" customHeight="1">
      <c r="A76" s="137" t="s">
        <v>180</v>
      </c>
      <c r="H76" s="61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3.5" customHeight="1">
      <c r="A77" s="138" t="s">
        <v>181</v>
      </c>
      <c r="B77" s="65"/>
      <c r="C77" s="65"/>
      <c r="D77" s="65"/>
      <c r="E77" s="65"/>
      <c r="F77" s="65"/>
      <c r="G77" s="65"/>
      <c r="H77" s="67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3.5" customHeight="1">
      <c r="A78" s="64" t="s">
        <v>182</v>
      </c>
      <c r="B78" s="65"/>
      <c r="C78" s="65"/>
      <c r="D78" s="65"/>
      <c r="E78" s="65"/>
      <c r="F78" s="65"/>
      <c r="G78" s="65"/>
      <c r="H78" s="67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26.25" customHeight="1">
      <c r="A79" s="78" t="s">
        <v>679</v>
      </c>
      <c r="B79" s="45"/>
      <c r="C79" s="45"/>
      <c r="D79" s="45"/>
      <c r="E79" s="45"/>
      <c r="F79" s="45"/>
      <c r="G79" s="45"/>
      <c r="H79" s="46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3.5" customHeight="1">
      <c r="A80" s="23"/>
      <c r="B80" s="23"/>
      <c r="C80" s="23"/>
      <c r="D80" s="23"/>
      <c r="E80" s="23"/>
      <c r="F80" s="23"/>
      <c r="G80" s="23"/>
      <c r="H80" s="23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23"/>
      <c r="B81" s="23"/>
      <c r="C81" s="23"/>
      <c r="D81" s="23"/>
      <c r="E81" s="23"/>
      <c r="F81" s="23"/>
      <c r="G81" s="23"/>
      <c r="H81" s="23"/>
      <c r="I81" s="2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23"/>
      <c r="B82" s="23"/>
      <c r="C82" s="23"/>
      <c r="D82" s="23"/>
      <c r="E82" s="23"/>
      <c r="F82" s="23"/>
      <c r="G82" s="23"/>
      <c r="H82" s="23"/>
      <c r="I82" s="2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23"/>
      <c r="B83" s="23"/>
      <c r="C83" s="23"/>
      <c r="D83" s="23"/>
      <c r="E83" s="23"/>
      <c r="F83" s="23"/>
      <c r="G83" s="23"/>
      <c r="H83" s="23"/>
      <c r="I83" s="2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23"/>
      <c r="B84" s="23"/>
      <c r="C84" s="23"/>
      <c r="D84" s="23"/>
      <c r="E84" s="23"/>
      <c r="F84" s="23"/>
      <c r="G84" s="23"/>
      <c r="H84" s="23"/>
      <c r="I84" s="2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4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3.5" customHeight="1">
      <c r="A271" s="23"/>
      <c r="B271" s="23"/>
      <c r="C271" s="23"/>
      <c r="D271" s="23"/>
      <c r="E271" s="23"/>
      <c r="F271" s="23"/>
      <c r="G271" s="23"/>
      <c r="H271" s="23"/>
      <c r="I271" s="24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3.5" customHeight="1">
      <c r="A272" s="23"/>
      <c r="B272" s="23"/>
      <c r="C272" s="23"/>
      <c r="D272" s="23"/>
      <c r="E272" s="23"/>
      <c r="F272" s="23"/>
      <c r="G272" s="23"/>
      <c r="H272" s="23"/>
      <c r="I272" s="24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3.5" customHeight="1">
      <c r="A273" s="23"/>
      <c r="B273" s="23"/>
      <c r="C273" s="23"/>
      <c r="D273" s="23"/>
      <c r="E273" s="23"/>
      <c r="F273" s="23"/>
      <c r="G273" s="23"/>
      <c r="H273" s="23"/>
      <c r="I273" s="24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3.5" customHeight="1">
      <c r="A274" s="23"/>
      <c r="B274" s="23"/>
      <c r="C274" s="23"/>
      <c r="D274" s="23"/>
      <c r="E274" s="23"/>
      <c r="F274" s="23"/>
      <c r="G274" s="23"/>
      <c r="H274" s="23"/>
      <c r="I274" s="24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3.5" customHeight="1">
      <c r="A275" s="23"/>
      <c r="B275" s="23"/>
      <c r="C275" s="23"/>
      <c r="D275" s="23"/>
      <c r="E275" s="23"/>
      <c r="F275" s="23"/>
      <c r="G275" s="23"/>
      <c r="H275" s="23"/>
      <c r="I275" s="24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3.5" customHeight="1">
      <c r="A276" s="23"/>
      <c r="B276" s="23"/>
      <c r="C276" s="23"/>
      <c r="D276" s="23"/>
      <c r="E276" s="23"/>
      <c r="F276" s="23"/>
      <c r="G276" s="23"/>
      <c r="H276" s="23"/>
      <c r="I276" s="24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3.5" customHeight="1">
      <c r="A277" s="23"/>
      <c r="B277" s="23"/>
      <c r="C277" s="23"/>
      <c r="D277" s="23"/>
      <c r="E277" s="23"/>
      <c r="F277" s="23"/>
      <c r="G277" s="23"/>
      <c r="H277" s="23"/>
      <c r="I277" s="24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3.5" customHeight="1">
      <c r="A278" s="23"/>
      <c r="B278" s="23"/>
      <c r="C278" s="23"/>
      <c r="D278" s="23"/>
      <c r="E278" s="23"/>
      <c r="F278" s="23"/>
      <c r="G278" s="23"/>
      <c r="H278" s="23"/>
      <c r="I278" s="24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3.5" customHeight="1">
      <c r="A279" s="23"/>
      <c r="B279" s="23"/>
      <c r="C279" s="23"/>
      <c r="D279" s="23"/>
      <c r="E279" s="23"/>
      <c r="F279" s="23"/>
      <c r="G279" s="23"/>
      <c r="H279" s="23"/>
      <c r="I279" s="24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D6:E7"/>
    <mergeCell ref="F6:G6"/>
    <mergeCell ref="F7:G7"/>
    <mergeCell ref="A2:C2"/>
    <mergeCell ref="A3:C3"/>
    <mergeCell ref="A4:A5"/>
    <mergeCell ref="B4:B5"/>
    <mergeCell ref="C4:C5"/>
    <mergeCell ref="D4:H4"/>
    <mergeCell ref="A6:A7"/>
    <mergeCell ref="H6:H7"/>
    <mergeCell ref="B6:B7"/>
    <mergeCell ref="C6:C7"/>
    <mergeCell ref="A16:A18"/>
    <mergeCell ref="A28:A30"/>
    <mergeCell ref="A31:H31"/>
    <mergeCell ref="A32:B32"/>
    <mergeCell ref="C32:H32"/>
    <mergeCell ref="A70:H70"/>
    <mergeCell ref="A75:H75"/>
    <mergeCell ref="A76:H76"/>
    <mergeCell ref="A79:H79"/>
    <mergeCell ref="A33:B33"/>
    <mergeCell ref="A36:B36"/>
    <mergeCell ref="A37:B37"/>
    <mergeCell ref="A38:B38"/>
    <mergeCell ref="A48:H48"/>
    <mergeCell ref="A54:C54"/>
    <mergeCell ref="D54:H54"/>
  </mergeCells>
  <printOptions/>
  <pageMargins bottom="0.0" footer="0.0" header="0.0" left="0.1968503937007874" right="0.0" top="0.1968503937007874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99"/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6.43"/>
    <col customWidth="1" min="3" max="3" width="26.71"/>
    <col customWidth="1" min="4" max="4" width="9.71"/>
    <col customWidth="1" min="5" max="5" width="8.71"/>
    <col customWidth="1" min="6" max="6" width="11.71"/>
    <col customWidth="1" min="7" max="7" width="12.29"/>
    <col customWidth="1" min="8" max="8" width="7.71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680</v>
      </c>
      <c r="B2" s="26"/>
      <c r="C2" s="26"/>
      <c r="D2" s="463"/>
      <c r="E2" s="463"/>
      <c r="F2" s="391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681</v>
      </c>
      <c r="B3" s="28"/>
      <c r="C3" s="28"/>
      <c r="D3" s="29" t="s">
        <v>72</v>
      </c>
      <c r="E3" s="589"/>
      <c r="F3" s="23"/>
      <c r="G3" s="590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2"/>
      <c r="B5" s="32"/>
      <c r="C5" s="32"/>
      <c r="D5" s="405" t="s">
        <v>76</v>
      </c>
      <c r="E5" s="405" t="s">
        <v>77</v>
      </c>
      <c r="F5" s="405" t="s">
        <v>78</v>
      </c>
      <c r="G5" s="405" t="s">
        <v>79</v>
      </c>
      <c r="H5" s="405" t="s">
        <v>80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140"/>
      <c r="B6" s="406"/>
      <c r="C6" s="141"/>
      <c r="D6" s="40" t="s">
        <v>82</v>
      </c>
      <c r="E6" s="39"/>
      <c r="F6" s="41" t="s">
        <v>83</v>
      </c>
      <c r="G6" s="26"/>
      <c r="H6" s="142" t="s">
        <v>186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108"/>
      <c r="C7" s="46"/>
      <c r="D7" s="47"/>
      <c r="E7" s="46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407" t="s">
        <v>682</v>
      </c>
      <c r="B8" s="408"/>
      <c r="C8" s="418" t="s">
        <v>683</v>
      </c>
      <c r="D8" s="52">
        <v>4150.0</v>
      </c>
      <c r="E8" s="53">
        <f t="shared" ref="E8:E11" si="1">SUM(D8)</f>
        <v>4150</v>
      </c>
      <c r="F8" s="53">
        <f t="shared" ref="F8:F11" si="2">D8-(D8*0.2)</f>
        <v>3320</v>
      </c>
      <c r="G8" s="53">
        <f t="shared" ref="G8:G11" si="3">E8-(E8*0.3)</f>
        <v>2905</v>
      </c>
      <c r="H8" s="53">
        <v>500.0</v>
      </c>
      <c r="I8" s="55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423" t="s">
        <v>355</v>
      </c>
      <c r="B9" s="412" t="s">
        <v>356</v>
      </c>
      <c r="C9" s="413" t="s">
        <v>684</v>
      </c>
      <c r="D9" s="52">
        <v>4400.0</v>
      </c>
      <c r="E9" s="53">
        <f t="shared" si="1"/>
        <v>4400</v>
      </c>
      <c r="F9" s="53">
        <f t="shared" si="2"/>
        <v>3520</v>
      </c>
      <c r="G9" s="53">
        <f t="shared" si="3"/>
        <v>3080</v>
      </c>
      <c r="H9" s="53">
        <v>500.0</v>
      </c>
      <c r="I9" s="5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424" t="s">
        <v>616</v>
      </c>
      <c r="B10" s="412" t="s">
        <v>685</v>
      </c>
      <c r="C10" s="413" t="s">
        <v>686</v>
      </c>
      <c r="D10" s="52">
        <v>4600.0</v>
      </c>
      <c r="E10" s="53">
        <f t="shared" si="1"/>
        <v>4600</v>
      </c>
      <c r="F10" s="53">
        <f t="shared" si="2"/>
        <v>3680</v>
      </c>
      <c r="G10" s="53">
        <f t="shared" si="3"/>
        <v>3220</v>
      </c>
      <c r="H10" s="53">
        <v>500.0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424"/>
      <c r="B11" s="496"/>
      <c r="C11" s="418" t="s">
        <v>687</v>
      </c>
      <c r="D11" s="52">
        <v>4250.0</v>
      </c>
      <c r="E11" s="53">
        <f t="shared" si="1"/>
        <v>4250</v>
      </c>
      <c r="F11" s="53">
        <f t="shared" si="2"/>
        <v>3400</v>
      </c>
      <c r="G11" s="53">
        <f t="shared" si="3"/>
        <v>2975</v>
      </c>
      <c r="H11" s="53">
        <v>500.0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4.5" customHeight="1">
      <c r="A12" s="591"/>
      <c r="B12" s="5"/>
      <c r="C12" s="5"/>
      <c r="D12" s="5"/>
      <c r="E12" s="5"/>
      <c r="F12" s="5"/>
      <c r="G12" s="5"/>
      <c r="H12" s="6"/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407" t="s">
        <v>688</v>
      </c>
      <c r="B13" s="408"/>
      <c r="C13" s="418" t="s">
        <v>683</v>
      </c>
      <c r="D13" s="52">
        <v>4380.0</v>
      </c>
      <c r="E13" s="53">
        <f t="shared" ref="E13:E16" si="4">SUM(D13)</f>
        <v>4380</v>
      </c>
      <c r="F13" s="53">
        <f t="shared" ref="F13:F16" si="5">D13-(D13*0.2)</f>
        <v>3504</v>
      </c>
      <c r="G13" s="53">
        <f t="shared" ref="G13:G16" si="6">E13-(E13*0.3)</f>
        <v>3066</v>
      </c>
      <c r="H13" s="53">
        <v>500.0</v>
      </c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592" t="s">
        <v>355</v>
      </c>
      <c r="B14" s="412" t="s">
        <v>356</v>
      </c>
      <c r="C14" s="413" t="s">
        <v>684</v>
      </c>
      <c r="D14" s="52">
        <v>4980.0</v>
      </c>
      <c r="E14" s="53">
        <f t="shared" si="4"/>
        <v>4980</v>
      </c>
      <c r="F14" s="53">
        <f t="shared" si="5"/>
        <v>3984</v>
      </c>
      <c r="G14" s="53">
        <f t="shared" si="6"/>
        <v>3486</v>
      </c>
      <c r="H14" s="53">
        <v>500.0</v>
      </c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593" t="s">
        <v>689</v>
      </c>
      <c r="B15" s="412" t="s">
        <v>685</v>
      </c>
      <c r="C15" s="413" t="s">
        <v>686</v>
      </c>
      <c r="D15" s="52">
        <v>5180.0</v>
      </c>
      <c r="E15" s="53">
        <f t="shared" si="4"/>
        <v>5180</v>
      </c>
      <c r="F15" s="53">
        <f t="shared" si="5"/>
        <v>4144</v>
      </c>
      <c r="G15" s="53">
        <f t="shared" si="6"/>
        <v>3626</v>
      </c>
      <c r="H15" s="53">
        <v>500.0</v>
      </c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495"/>
      <c r="B16" s="496"/>
      <c r="C16" s="418" t="s">
        <v>687</v>
      </c>
      <c r="D16" s="52">
        <v>4650.0</v>
      </c>
      <c r="E16" s="53">
        <f t="shared" si="4"/>
        <v>4650</v>
      </c>
      <c r="F16" s="53">
        <f t="shared" si="5"/>
        <v>3720</v>
      </c>
      <c r="G16" s="53">
        <f t="shared" si="6"/>
        <v>3255</v>
      </c>
      <c r="H16" s="53">
        <v>500.0</v>
      </c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3.75" customHeight="1">
      <c r="A17" s="591"/>
      <c r="B17" s="5"/>
      <c r="C17" s="5"/>
      <c r="D17" s="5"/>
      <c r="E17" s="5"/>
      <c r="F17" s="5"/>
      <c r="G17" s="5"/>
      <c r="H17" s="6"/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6.5" customHeight="1">
      <c r="A18" s="407" t="s">
        <v>690</v>
      </c>
      <c r="B18" s="408"/>
      <c r="C18" s="418" t="s">
        <v>683</v>
      </c>
      <c r="D18" s="52">
        <v>4580.0</v>
      </c>
      <c r="E18" s="53">
        <f t="shared" ref="E18:E21" si="7">SUM(D18)</f>
        <v>4580</v>
      </c>
      <c r="F18" s="53">
        <f t="shared" ref="F18:F21" si="8">D18-(D18*0.2)</f>
        <v>3664</v>
      </c>
      <c r="G18" s="53">
        <f t="shared" ref="G18:G21" si="9">E18-(E18*0.3)</f>
        <v>3206</v>
      </c>
      <c r="H18" s="53">
        <v>500.0</v>
      </c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6.5" customHeight="1">
      <c r="A19" s="522" t="s">
        <v>355</v>
      </c>
      <c r="B19" s="412" t="s">
        <v>356</v>
      </c>
      <c r="C19" s="413" t="s">
        <v>684</v>
      </c>
      <c r="D19" s="52">
        <v>4750.0</v>
      </c>
      <c r="E19" s="53">
        <f t="shared" si="7"/>
        <v>4750</v>
      </c>
      <c r="F19" s="53">
        <f t="shared" si="8"/>
        <v>3800</v>
      </c>
      <c r="G19" s="53">
        <f t="shared" si="9"/>
        <v>3325</v>
      </c>
      <c r="H19" s="53">
        <v>500.0</v>
      </c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6.5" customHeight="1">
      <c r="A20" s="566" t="s">
        <v>691</v>
      </c>
      <c r="B20" s="412" t="s">
        <v>685</v>
      </c>
      <c r="C20" s="413" t="s">
        <v>686</v>
      </c>
      <c r="D20" s="52">
        <v>4950.0</v>
      </c>
      <c r="E20" s="53">
        <f t="shared" si="7"/>
        <v>4950</v>
      </c>
      <c r="F20" s="53">
        <f t="shared" si="8"/>
        <v>3960</v>
      </c>
      <c r="G20" s="53">
        <f t="shared" si="9"/>
        <v>3465</v>
      </c>
      <c r="H20" s="53">
        <v>500.0</v>
      </c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6.5" customHeight="1">
      <c r="A21" s="415"/>
      <c r="B21" s="496"/>
      <c r="C21" s="418" t="s">
        <v>687</v>
      </c>
      <c r="D21" s="52">
        <v>4550.0</v>
      </c>
      <c r="E21" s="53">
        <f t="shared" si="7"/>
        <v>4550</v>
      </c>
      <c r="F21" s="53">
        <f t="shared" si="8"/>
        <v>3640</v>
      </c>
      <c r="G21" s="53">
        <f t="shared" si="9"/>
        <v>3185</v>
      </c>
      <c r="H21" s="53">
        <v>500.0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4.5" customHeight="1">
      <c r="A22" s="591"/>
      <c r="B22" s="5"/>
      <c r="C22" s="5"/>
      <c r="D22" s="5"/>
      <c r="E22" s="5"/>
      <c r="F22" s="5"/>
      <c r="G22" s="5"/>
      <c r="H22" s="6"/>
      <c r="I22" s="5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6.5" customHeight="1">
      <c r="A23" s="407" t="s">
        <v>692</v>
      </c>
      <c r="B23" s="408"/>
      <c r="C23" s="418" t="s">
        <v>683</v>
      </c>
      <c r="D23" s="52">
        <v>4800.0</v>
      </c>
      <c r="E23" s="53">
        <f t="shared" ref="E23:E26" si="10">SUM(D23)</f>
        <v>4800</v>
      </c>
      <c r="F23" s="53">
        <f t="shared" ref="F23:F26" si="11">D23-(D23*0.2)</f>
        <v>3840</v>
      </c>
      <c r="G23" s="53">
        <f t="shared" ref="G23:G26" si="12">E23-(E23*0.3)</f>
        <v>3360</v>
      </c>
      <c r="H23" s="53">
        <v>500.0</v>
      </c>
      <c r="I23" s="5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6.5" customHeight="1">
      <c r="A24" s="594" t="s">
        <v>355</v>
      </c>
      <c r="B24" s="412" t="s">
        <v>356</v>
      </c>
      <c r="C24" s="413" t="s">
        <v>684</v>
      </c>
      <c r="D24" s="52">
        <v>4980.0</v>
      </c>
      <c r="E24" s="53">
        <f t="shared" si="10"/>
        <v>4980</v>
      </c>
      <c r="F24" s="53">
        <f t="shared" si="11"/>
        <v>3984</v>
      </c>
      <c r="G24" s="53">
        <f t="shared" si="12"/>
        <v>3486</v>
      </c>
      <c r="H24" s="53">
        <v>500.0</v>
      </c>
      <c r="I24" s="5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6.5" customHeight="1">
      <c r="A25" s="595" t="s">
        <v>693</v>
      </c>
      <c r="B25" s="412" t="s">
        <v>685</v>
      </c>
      <c r="C25" s="413" t="s">
        <v>686</v>
      </c>
      <c r="D25" s="52">
        <v>5180.0</v>
      </c>
      <c r="E25" s="53">
        <f t="shared" si="10"/>
        <v>5180</v>
      </c>
      <c r="F25" s="53">
        <f t="shared" si="11"/>
        <v>4144</v>
      </c>
      <c r="G25" s="53">
        <f t="shared" si="12"/>
        <v>3626</v>
      </c>
      <c r="H25" s="53">
        <v>500.0</v>
      </c>
      <c r="I25" s="5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6.5" customHeight="1">
      <c r="A26" s="415"/>
      <c r="B26" s="496"/>
      <c r="C26" s="418" t="s">
        <v>687</v>
      </c>
      <c r="D26" s="52">
        <v>4650.0</v>
      </c>
      <c r="E26" s="53">
        <f t="shared" si="10"/>
        <v>4650</v>
      </c>
      <c r="F26" s="53">
        <f t="shared" si="11"/>
        <v>3720</v>
      </c>
      <c r="G26" s="53">
        <f t="shared" si="12"/>
        <v>3255</v>
      </c>
      <c r="H26" s="53">
        <v>500.0</v>
      </c>
      <c r="I26" s="55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0.5" customHeight="1">
      <c r="A27" s="596"/>
      <c r="B27" s="5"/>
      <c r="C27" s="5"/>
      <c r="D27" s="5"/>
      <c r="E27" s="5"/>
      <c r="F27" s="5"/>
      <c r="G27" s="5"/>
      <c r="H27" s="6"/>
      <c r="I27" s="55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6.5" customHeight="1">
      <c r="A28" s="407" t="s">
        <v>694</v>
      </c>
      <c r="B28" s="408"/>
      <c r="C28" s="418" t="s">
        <v>683</v>
      </c>
      <c r="D28" s="52">
        <v>5680.0</v>
      </c>
      <c r="E28" s="53">
        <f t="shared" ref="E28:E31" si="13">SUM(D28)</f>
        <v>5680</v>
      </c>
      <c r="F28" s="53">
        <f t="shared" ref="F28:F31" si="14">D28-(D28*0.2)</f>
        <v>4544</v>
      </c>
      <c r="G28" s="53">
        <f t="shared" ref="G28:G31" si="15">E28-(E28*0.3)</f>
        <v>3976</v>
      </c>
      <c r="H28" s="53">
        <v>500.0</v>
      </c>
      <c r="I28" s="55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6.5" customHeight="1">
      <c r="A29" s="423" t="s">
        <v>355</v>
      </c>
      <c r="B29" s="412" t="s">
        <v>369</v>
      </c>
      <c r="C29" s="413" t="s">
        <v>684</v>
      </c>
      <c r="D29" s="52">
        <v>6250.0</v>
      </c>
      <c r="E29" s="53">
        <f t="shared" si="13"/>
        <v>6250</v>
      </c>
      <c r="F29" s="53">
        <f t="shared" si="14"/>
        <v>5000</v>
      </c>
      <c r="G29" s="53">
        <f t="shared" si="15"/>
        <v>4375</v>
      </c>
      <c r="H29" s="53">
        <v>500.0</v>
      </c>
      <c r="I29" s="55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6.5" customHeight="1">
      <c r="A30" s="424" t="s">
        <v>616</v>
      </c>
      <c r="B30" s="412" t="s">
        <v>695</v>
      </c>
      <c r="C30" s="413" t="s">
        <v>686</v>
      </c>
      <c r="D30" s="52">
        <v>6480.0</v>
      </c>
      <c r="E30" s="53">
        <f t="shared" si="13"/>
        <v>6480</v>
      </c>
      <c r="F30" s="53">
        <f t="shared" si="14"/>
        <v>5184</v>
      </c>
      <c r="G30" s="53">
        <f t="shared" si="15"/>
        <v>4536</v>
      </c>
      <c r="H30" s="53">
        <v>500.0</v>
      </c>
      <c r="I30" s="55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6.5" customHeight="1">
      <c r="A31" s="424"/>
      <c r="B31" s="471"/>
      <c r="C31" s="418" t="s">
        <v>687</v>
      </c>
      <c r="D31" s="52">
        <v>5800.0</v>
      </c>
      <c r="E31" s="53">
        <f t="shared" si="13"/>
        <v>5800</v>
      </c>
      <c r="F31" s="53">
        <f t="shared" si="14"/>
        <v>4640</v>
      </c>
      <c r="G31" s="53">
        <f t="shared" si="15"/>
        <v>4060</v>
      </c>
      <c r="H31" s="53">
        <v>500.0</v>
      </c>
      <c r="I31" s="55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4.5" customHeight="1">
      <c r="A32" s="591"/>
      <c r="B32" s="5"/>
      <c r="C32" s="5"/>
      <c r="D32" s="5"/>
      <c r="E32" s="5"/>
      <c r="F32" s="5"/>
      <c r="G32" s="5"/>
      <c r="H32" s="6"/>
      <c r="I32" s="55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6.5" customHeight="1">
      <c r="A33" s="407" t="s">
        <v>696</v>
      </c>
      <c r="B33" s="408"/>
      <c r="C33" s="418" t="s">
        <v>683</v>
      </c>
      <c r="D33" s="52">
        <v>7080.0</v>
      </c>
      <c r="E33" s="53">
        <f t="shared" ref="E33:E36" si="16">SUM(D33)</f>
        <v>7080</v>
      </c>
      <c r="F33" s="53">
        <f t="shared" ref="F33:F36" si="17">D33-(D33*0.2)</f>
        <v>5664</v>
      </c>
      <c r="G33" s="53">
        <f t="shared" ref="G33:G36" si="18">E33-(E33*0.3)</f>
        <v>4956</v>
      </c>
      <c r="H33" s="53">
        <v>500.0</v>
      </c>
      <c r="I33" s="55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6.5" customHeight="1">
      <c r="A34" s="594" t="s">
        <v>355</v>
      </c>
      <c r="B34" s="412" t="s">
        <v>369</v>
      </c>
      <c r="C34" s="413" t="s">
        <v>684</v>
      </c>
      <c r="D34" s="52">
        <v>7650.0</v>
      </c>
      <c r="E34" s="53">
        <f t="shared" si="16"/>
        <v>7650</v>
      </c>
      <c r="F34" s="53">
        <f t="shared" si="17"/>
        <v>6120</v>
      </c>
      <c r="G34" s="53">
        <f t="shared" si="18"/>
        <v>5355</v>
      </c>
      <c r="H34" s="53">
        <v>500.0</v>
      </c>
      <c r="I34" s="55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6.5" customHeight="1">
      <c r="A35" s="595" t="s">
        <v>693</v>
      </c>
      <c r="B35" s="412" t="s">
        <v>695</v>
      </c>
      <c r="C35" s="413" t="s">
        <v>686</v>
      </c>
      <c r="D35" s="52">
        <v>7950.0</v>
      </c>
      <c r="E35" s="53">
        <f t="shared" si="16"/>
        <v>7950</v>
      </c>
      <c r="F35" s="53">
        <f t="shared" si="17"/>
        <v>6360</v>
      </c>
      <c r="G35" s="53">
        <f t="shared" si="18"/>
        <v>5565</v>
      </c>
      <c r="H35" s="53">
        <v>500.0</v>
      </c>
      <c r="I35" s="55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6.5" customHeight="1">
      <c r="A36" s="415"/>
      <c r="B36" s="471"/>
      <c r="C36" s="418" t="s">
        <v>687</v>
      </c>
      <c r="D36" s="52">
        <v>6780.0</v>
      </c>
      <c r="E36" s="53">
        <f t="shared" si="16"/>
        <v>6780</v>
      </c>
      <c r="F36" s="53">
        <f t="shared" si="17"/>
        <v>5424</v>
      </c>
      <c r="G36" s="53">
        <f t="shared" si="18"/>
        <v>4746</v>
      </c>
      <c r="H36" s="53">
        <v>500.0</v>
      </c>
      <c r="I36" s="55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24.0" customHeight="1">
      <c r="A37" s="484" t="s">
        <v>373</v>
      </c>
      <c r="B37" s="485"/>
      <c r="C37" s="485"/>
      <c r="D37" s="485"/>
      <c r="E37" s="485"/>
      <c r="F37" s="485"/>
      <c r="G37" s="485"/>
      <c r="H37" s="486"/>
      <c r="I37" s="487"/>
      <c r="J37" s="24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6.5" customHeight="1">
      <c r="A38" s="404" t="s">
        <v>96</v>
      </c>
      <c r="B38" s="5"/>
      <c r="C38" s="404" t="s">
        <v>97</v>
      </c>
      <c r="D38" s="5"/>
      <c r="E38" s="5"/>
      <c r="F38" s="5"/>
      <c r="G38" s="5"/>
      <c r="H38" s="6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0" customHeight="1">
      <c r="A39" s="152" t="s">
        <v>98</v>
      </c>
      <c r="B39" s="38"/>
      <c r="C39" s="153" t="s">
        <v>99</v>
      </c>
      <c r="D39" s="62"/>
      <c r="E39" s="62"/>
      <c r="F39" s="62"/>
      <c r="G39" s="62"/>
      <c r="H39" s="6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0" customHeight="1">
      <c r="A40" s="64" t="s">
        <v>191</v>
      </c>
      <c r="B40" s="85"/>
      <c r="C40" s="64" t="s">
        <v>101</v>
      </c>
      <c r="D40" s="65"/>
      <c r="E40" s="65"/>
      <c r="F40" s="65"/>
      <c r="G40" s="65"/>
      <c r="H40" s="67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0" customHeight="1">
      <c r="A41" s="436" t="s">
        <v>417</v>
      </c>
      <c r="B41" s="85"/>
      <c r="C41" s="70" t="s">
        <v>697</v>
      </c>
      <c r="D41" s="65"/>
      <c r="E41" s="65"/>
      <c r="F41" s="65"/>
      <c r="G41" s="65"/>
      <c r="H41" s="67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0" customHeight="1">
      <c r="A42" s="60" t="s">
        <v>376</v>
      </c>
      <c r="C42" s="70" t="s">
        <v>105</v>
      </c>
      <c r="D42" s="65"/>
      <c r="E42" s="65"/>
      <c r="F42" s="65"/>
      <c r="G42" s="65"/>
      <c r="H42" s="67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0" customHeight="1">
      <c r="A43" s="69" t="s">
        <v>104</v>
      </c>
      <c r="C43" s="437" t="s">
        <v>109</v>
      </c>
      <c r="D43" s="74"/>
      <c r="E43" s="74"/>
      <c r="F43" s="74"/>
      <c r="G43" s="74"/>
      <c r="H43" s="75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0" customHeight="1">
      <c r="A44" s="69" t="s">
        <v>106</v>
      </c>
      <c r="C44" s="70" t="s">
        <v>630</v>
      </c>
      <c r="D44" s="65"/>
      <c r="E44" s="65"/>
      <c r="F44" s="65"/>
      <c r="G44" s="65"/>
      <c r="H44" s="67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0" customHeight="1">
      <c r="A45" s="71" t="s">
        <v>698</v>
      </c>
      <c r="B45" s="23"/>
      <c r="C45" s="70"/>
      <c r="D45" s="65"/>
      <c r="E45" s="65"/>
      <c r="F45" s="65"/>
      <c r="G45" s="65"/>
      <c r="H45" s="67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0" customHeight="1">
      <c r="A46" s="438" t="s">
        <v>699</v>
      </c>
      <c r="B46" s="23"/>
      <c r="C46" s="70"/>
      <c r="D46" s="65"/>
      <c r="E46" s="65"/>
      <c r="F46" s="65"/>
      <c r="G46" s="65"/>
      <c r="H46" s="67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0" customHeight="1">
      <c r="A47" s="438" t="s">
        <v>700</v>
      </c>
      <c r="B47" s="23"/>
      <c r="C47" s="64"/>
      <c r="D47" s="65"/>
      <c r="E47" s="65"/>
      <c r="F47" s="65"/>
      <c r="G47" s="65"/>
      <c r="H47" s="67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0" customHeight="1">
      <c r="A48" s="71" t="s">
        <v>216</v>
      </c>
      <c r="B48" s="23"/>
      <c r="C48" s="71"/>
      <c r="D48" s="65"/>
      <c r="E48" s="65"/>
      <c r="F48" s="65"/>
      <c r="G48" s="65"/>
      <c r="H48" s="67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0" customHeight="1">
      <c r="A49" s="71" t="s">
        <v>701</v>
      </c>
      <c r="B49" s="23"/>
      <c r="C49" s="71"/>
      <c r="D49" s="65"/>
      <c r="E49" s="65"/>
      <c r="F49" s="65"/>
      <c r="G49" s="65"/>
      <c r="H49" s="67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0" customHeight="1">
      <c r="A50" s="71" t="s">
        <v>702</v>
      </c>
      <c r="B50" s="23"/>
      <c r="C50" s="71"/>
      <c r="D50" s="65"/>
      <c r="E50" s="65"/>
      <c r="F50" s="65"/>
      <c r="G50" s="65"/>
      <c r="H50" s="67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0" customHeight="1">
      <c r="A51" s="71" t="s">
        <v>703</v>
      </c>
      <c r="B51" s="23"/>
      <c r="C51" s="439" t="s">
        <v>384</v>
      </c>
      <c r="D51" s="440"/>
      <c r="E51" s="440"/>
      <c r="F51" s="440"/>
      <c r="G51" s="440"/>
      <c r="H51" s="441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0" customHeight="1">
      <c r="A52" s="71" t="s">
        <v>385</v>
      </c>
      <c r="B52" s="23"/>
      <c r="C52" s="71" t="s">
        <v>704</v>
      </c>
      <c r="D52" s="65"/>
      <c r="E52" s="65"/>
      <c r="F52" s="65" t="s">
        <v>705</v>
      </c>
      <c r="G52" s="65"/>
      <c r="H52" s="67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0" customHeight="1">
      <c r="A53" s="71" t="s">
        <v>388</v>
      </c>
      <c r="B53" s="23"/>
      <c r="C53" s="86"/>
      <c r="D53" s="156"/>
      <c r="E53" s="156"/>
      <c r="F53" s="156" t="s">
        <v>706</v>
      </c>
      <c r="G53" s="156"/>
      <c r="H53" s="442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0" customHeight="1">
      <c r="A54" s="155"/>
      <c r="B54" s="87"/>
      <c r="C54" s="86"/>
      <c r="D54" s="101"/>
      <c r="E54" s="101"/>
      <c r="F54" s="101"/>
      <c r="G54" s="101"/>
      <c r="H54" s="157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0" customHeight="1">
      <c r="A55" s="443" t="s">
        <v>393</v>
      </c>
      <c r="B55" s="89"/>
      <c r="C55" s="89"/>
      <c r="D55" s="89"/>
      <c r="E55" s="89"/>
      <c r="F55" s="89"/>
      <c r="G55" s="89"/>
      <c r="H55" s="90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0" customHeight="1">
      <c r="A56" s="444"/>
      <c r="B56" s="445"/>
      <c r="C56" s="446" t="s">
        <v>707</v>
      </c>
      <c r="D56" s="447"/>
      <c r="E56" s="445"/>
      <c r="F56" s="445"/>
      <c r="G56" s="447"/>
      <c r="H56" s="448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0" customHeight="1">
      <c r="A57" s="449" t="s">
        <v>114</v>
      </c>
      <c r="B57" s="23" t="s">
        <v>115</v>
      </c>
      <c r="C57" s="85" t="s">
        <v>137</v>
      </c>
      <c r="D57" s="85"/>
      <c r="E57" s="106"/>
      <c r="F57" s="106"/>
      <c r="G57" s="106"/>
      <c r="H57" s="450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0" customHeight="1">
      <c r="A58" s="451" t="s">
        <v>117</v>
      </c>
      <c r="B58" s="85" t="s">
        <v>224</v>
      </c>
      <c r="C58" s="85" t="s">
        <v>225</v>
      </c>
      <c r="D58" s="85"/>
      <c r="E58" s="106"/>
      <c r="F58" s="106"/>
      <c r="G58" s="106"/>
      <c r="H58" s="450"/>
      <c r="I58" s="24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0" customHeight="1">
      <c r="A59" s="451" t="s">
        <v>121</v>
      </c>
      <c r="B59" s="85" t="s">
        <v>708</v>
      </c>
      <c r="C59" s="85" t="s">
        <v>225</v>
      </c>
      <c r="D59" s="85"/>
      <c r="E59" s="106"/>
      <c r="F59" s="106"/>
      <c r="G59" s="106"/>
      <c r="H59" s="450"/>
      <c r="I59" s="24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0" customHeight="1">
      <c r="A60" s="451" t="s">
        <v>194</v>
      </c>
      <c r="B60" s="85" t="s">
        <v>122</v>
      </c>
      <c r="C60" s="85" t="s">
        <v>119</v>
      </c>
      <c r="D60" s="85"/>
      <c r="E60" s="106"/>
      <c r="F60" s="106"/>
      <c r="G60" s="106"/>
      <c r="H60" s="450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8.25" customHeight="1">
      <c r="A61" s="452"/>
      <c r="B61" s="161"/>
      <c r="C61" s="161"/>
      <c r="D61" s="161"/>
      <c r="E61" s="101"/>
      <c r="F61" s="101"/>
      <c r="G61" s="101"/>
      <c r="H61" s="157"/>
      <c r="I61" s="24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0" customHeight="1">
      <c r="A62" s="453"/>
      <c r="B62" s="454"/>
      <c r="C62" s="455" t="s">
        <v>709</v>
      </c>
      <c r="D62" s="85"/>
      <c r="E62" s="106"/>
      <c r="F62" s="106"/>
      <c r="G62" s="106"/>
      <c r="H62" s="450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0" customHeight="1">
      <c r="A63" s="449" t="s">
        <v>114</v>
      </c>
      <c r="B63" s="23" t="s">
        <v>397</v>
      </c>
      <c r="C63" s="85" t="s">
        <v>137</v>
      </c>
      <c r="D63" s="85"/>
      <c r="E63" s="106"/>
      <c r="F63" s="106"/>
      <c r="G63" s="106"/>
      <c r="H63" s="450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0" customHeight="1">
      <c r="A64" s="451" t="s">
        <v>117</v>
      </c>
      <c r="B64" s="85" t="s">
        <v>708</v>
      </c>
      <c r="C64" s="85" t="s">
        <v>225</v>
      </c>
      <c r="D64" s="85"/>
      <c r="E64" s="106"/>
      <c r="F64" s="106"/>
      <c r="G64" s="106"/>
      <c r="H64" s="450"/>
      <c r="I64" s="24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0" customHeight="1">
      <c r="A65" s="451" t="s">
        <v>121</v>
      </c>
      <c r="B65" s="85" t="s">
        <v>118</v>
      </c>
      <c r="C65" s="85" t="s">
        <v>225</v>
      </c>
      <c r="D65" s="85"/>
      <c r="E65" s="106"/>
      <c r="F65" s="106"/>
      <c r="G65" s="106"/>
      <c r="H65" s="450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0" customHeight="1">
      <c r="A66" s="452" t="s">
        <v>194</v>
      </c>
      <c r="B66" s="161" t="s">
        <v>122</v>
      </c>
      <c r="C66" s="161" t="s">
        <v>119</v>
      </c>
      <c r="D66" s="161"/>
      <c r="E66" s="101"/>
      <c r="F66" s="101"/>
      <c r="G66" s="101"/>
      <c r="H66" s="157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>
      <c r="A67" s="404" t="s">
        <v>148</v>
      </c>
      <c r="B67" s="5"/>
      <c r="C67" s="5"/>
      <c r="D67" s="492" t="s">
        <v>149</v>
      </c>
      <c r="E67" s="5"/>
      <c r="F67" s="5"/>
      <c r="G67" s="5"/>
      <c r="H67" s="6"/>
      <c r="I67" s="24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ht="13.5" customHeight="1">
      <c r="A68" s="459" t="s">
        <v>710</v>
      </c>
      <c r="B68" s="460"/>
      <c r="C68" s="461"/>
      <c r="D68" s="118">
        <v>1.0</v>
      </c>
      <c r="E68" s="62" t="s">
        <v>151</v>
      </c>
      <c r="F68" s="62"/>
      <c r="G68" s="119"/>
      <c r="H68" s="120"/>
      <c r="I68" s="24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ht="13.5" customHeight="1">
      <c r="A69" s="116" t="s">
        <v>711</v>
      </c>
      <c r="B69" s="91"/>
      <c r="C69" s="165"/>
      <c r="D69" s="121">
        <v>0.5</v>
      </c>
      <c r="E69" s="122" t="s">
        <v>153</v>
      </c>
      <c r="F69" s="122"/>
      <c r="G69" s="123"/>
      <c r="H69" s="124"/>
      <c r="I69" s="24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3.5" customHeight="1">
      <c r="A70" s="125" t="s">
        <v>712</v>
      </c>
      <c r="B70" s="23"/>
      <c r="C70" s="72"/>
      <c r="D70" s="121">
        <v>0.0</v>
      </c>
      <c r="E70" s="122" t="s">
        <v>155</v>
      </c>
      <c r="F70" s="122"/>
      <c r="G70" s="123"/>
      <c r="H70" s="124"/>
      <c r="I70" s="24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3.5" customHeight="1">
      <c r="A71" s="127" t="s">
        <v>713</v>
      </c>
      <c r="B71" s="23"/>
      <c r="C71" s="72"/>
      <c r="D71" s="129"/>
      <c r="E71" s="65"/>
      <c r="F71" s="65"/>
      <c r="G71" s="130"/>
      <c r="H71" s="131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127" t="s">
        <v>714</v>
      </c>
      <c r="B72" s="23"/>
      <c r="C72" s="72"/>
      <c r="D72" s="71"/>
      <c r="E72" s="23"/>
      <c r="F72" s="23"/>
      <c r="G72" s="23"/>
      <c r="H72" s="72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127" t="s">
        <v>715</v>
      </c>
      <c r="B73" s="23"/>
      <c r="C73" s="72"/>
      <c r="D73" s="23"/>
      <c r="E73" s="23"/>
      <c r="F73" s="23"/>
      <c r="G73" s="23"/>
      <c r="H73" s="72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127" t="s">
        <v>716</v>
      </c>
      <c r="B74" s="23"/>
      <c r="C74" s="72"/>
      <c r="D74" s="23"/>
      <c r="E74" s="23"/>
      <c r="F74" s="23"/>
      <c r="G74" s="23"/>
      <c r="H74" s="72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127" t="s">
        <v>717</v>
      </c>
      <c r="B75" s="23"/>
      <c r="C75" s="72"/>
      <c r="D75" s="23"/>
      <c r="E75" s="23"/>
      <c r="F75" s="23"/>
      <c r="G75" s="23"/>
      <c r="H75" s="72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132" t="s">
        <v>161</v>
      </c>
      <c r="B76" s="134" t="s">
        <v>163</v>
      </c>
      <c r="C76" s="72"/>
      <c r="D76" s="23"/>
      <c r="E76" s="23"/>
      <c r="F76" s="23"/>
      <c r="G76" s="23"/>
      <c r="H76" s="72"/>
      <c r="I76" s="2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125" t="s">
        <v>718</v>
      </c>
      <c r="B77" s="23"/>
      <c r="C77" s="72"/>
      <c r="D77" s="23"/>
      <c r="E77" s="23"/>
      <c r="F77" s="23"/>
      <c r="G77" s="23"/>
      <c r="H77" s="72"/>
      <c r="I77" s="24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3.5" customHeight="1">
      <c r="A78" s="71" t="s">
        <v>164</v>
      </c>
      <c r="B78" s="135" t="s">
        <v>165</v>
      </c>
      <c r="C78" s="462"/>
      <c r="D78" s="23"/>
      <c r="E78" s="23"/>
      <c r="F78" s="23"/>
      <c r="G78" s="23"/>
      <c r="H78" s="72"/>
      <c r="I78" s="24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3.5" customHeight="1">
      <c r="A79" s="71" t="s">
        <v>166</v>
      </c>
      <c r="B79" s="135" t="s">
        <v>167</v>
      </c>
      <c r="C79" s="462"/>
      <c r="D79" s="23"/>
      <c r="E79" s="23"/>
      <c r="F79" s="23"/>
      <c r="G79" s="23"/>
      <c r="H79" s="72"/>
      <c r="I79" s="24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71" t="s">
        <v>168</v>
      </c>
      <c r="B80" s="135" t="s">
        <v>169</v>
      </c>
      <c r="C80" s="462"/>
      <c r="D80" s="23"/>
      <c r="E80" s="23"/>
      <c r="F80" s="23"/>
      <c r="G80" s="23"/>
      <c r="H80" s="72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71" t="s">
        <v>170</v>
      </c>
      <c r="B81" s="23" t="s">
        <v>171</v>
      </c>
      <c r="C81" s="72"/>
      <c r="D81" s="23"/>
      <c r="E81" s="23"/>
      <c r="F81" s="23"/>
      <c r="G81" s="23"/>
      <c r="H81" s="72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3.5" customHeight="1">
      <c r="A82" s="86" t="s">
        <v>172</v>
      </c>
      <c r="B82" s="87" t="s">
        <v>173</v>
      </c>
      <c r="C82" s="136"/>
      <c r="D82" s="87"/>
      <c r="E82" s="87"/>
      <c r="F82" s="87"/>
      <c r="G82" s="87"/>
      <c r="H82" s="136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3.5" customHeight="1">
      <c r="A83" s="456" t="s">
        <v>174</v>
      </c>
      <c r="B83" s="28"/>
      <c r="C83" s="28"/>
      <c r="D83" s="28"/>
      <c r="E83" s="28"/>
      <c r="F83" s="28"/>
      <c r="G83" s="28"/>
      <c r="H83" s="458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3.5" customHeight="1">
      <c r="A84" s="64" t="s">
        <v>175</v>
      </c>
      <c r="B84" s="65"/>
      <c r="C84" s="65"/>
      <c r="D84" s="65"/>
      <c r="E84" s="65"/>
      <c r="F84" s="65"/>
      <c r="G84" s="65"/>
      <c r="H84" s="67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3.5" customHeight="1">
      <c r="A85" s="64" t="s">
        <v>176</v>
      </c>
      <c r="B85" s="65"/>
      <c r="C85" s="65"/>
      <c r="D85" s="65"/>
      <c r="E85" s="65"/>
      <c r="F85" s="65"/>
      <c r="G85" s="65"/>
      <c r="H85" s="67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3.5" customHeight="1">
      <c r="A86" s="64" t="s">
        <v>177</v>
      </c>
      <c r="B86" s="65"/>
      <c r="C86" s="65"/>
      <c r="D86" s="65"/>
      <c r="E86" s="65"/>
      <c r="F86" s="65"/>
      <c r="G86" s="65"/>
      <c r="H86" s="67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3.5" customHeight="1">
      <c r="A87" s="64" t="s">
        <v>719</v>
      </c>
      <c r="B87" s="65"/>
      <c r="C87" s="65"/>
      <c r="D87" s="65"/>
      <c r="E87" s="65"/>
      <c r="F87" s="65"/>
      <c r="G87" s="65"/>
      <c r="H87" s="67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2.0" customHeight="1">
      <c r="A88" s="60" t="s">
        <v>179</v>
      </c>
      <c r="H88" s="61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3.5" customHeight="1">
      <c r="A89" s="137" t="s">
        <v>180</v>
      </c>
      <c r="H89" s="61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3.5" customHeight="1">
      <c r="A90" s="138" t="s">
        <v>181</v>
      </c>
      <c r="B90" s="65"/>
      <c r="C90" s="65"/>
      <c r="D90" s="65"/>
      <c r="E90" s="65"/>
      <c r="F90" s="65"/>
      <c r="G90" s="65"/>
      <c r="H90" s="67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3.5" customHeight="1">
      <c r="A91" s="64" t="s">
        <v>182</v>
      </c>
      <c r="B91" s="65"/>
      <c r="C91" s="65"/>
      <c r="D91" s="65"/>
      <c r="E91" s="65"/>
      <c r="F91" s="65"/>
      <c r="G91" s="65"/>
      <c r="H91" s="67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26.25" customHeight="1">
      <c r="A92" s="78" t="s">
        <v>720</v>
      </c>
      <c r="B92" s="45"/>
      <c r="C92" s="45"/>
      <c r="D92" s="45"/>
      <c r="E92" s="45"/>
      <c r="F92" s="45"/>
      <c r="G92" s="45"/>
      <c r="H92" s="46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3.5" customHeight="1">
      <c r="A271" s="23"/>
      <c r="B271" s="23"/>
      <c r="C271" s="23"/>
      <c r="D271" s="23"/>
      <c r="E271" s="23"/>
      <c r="F271" s="23"/>
      <c r="G271" s="23"/>
      <c r="H271" s="23"/>
      <c r="I271" s="24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3.5" customHeight="1">
      <c r="A272" s="23"/>
      <c r="B272" s="23"/>
      <c r="C272" s="23"/>
      <c r="D272" s="23"/>
      <c r="E272" s="23"/>
      <c r="F272" s="23"/>
      <c r="G272" s="23"/>
      <c r="H272" s="23"/>
      <c r="I272" s="24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3.5" customHeight="1">
      <c r="A273" s="23"/>
      <c r="B273" s="23"/>
      <c r="C273" s="23"/>
      <c r="D273" s="23"/>
      <c r="E273" s="23"/>
      <c r="F273" s="23"/>
      <c r="G273" s="23"/>
      <c r="H273" s="23"/>
      <c r="I273" s="24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3.5" customHeight="1">
      <c r="A274" s="23"/>
      <c r="B274" s="23"/>
      <c r="C274" s="23"/>
      <c r="D274" s="23"/>
      <c r="E274" s="23"/>
      <c r="F274" s="23"/>
      <c r="G274" s="23"/>
      <c r="H274" s="23"/>
      <c r="I274" s="24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3.5" customHeight="1">
      <c r="A275" s="23"/>
      <c r="B275" s="23"/>
      <c r="C275" s="23"/>
      <c r="D275" s="23"/>
      <c r="E275" s="23"/>
      <c r="F275" s="23"/>
      <c r="G275" s="23"/>
      <c r="H275" s="23"/>
      <c r="I275" s="24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3.5" customHeight="1">
      <c r="A276" s="23"/>
      <c r="B276" s="23"/>
      <c r="C276" s="23"/>
      <c r="D276" s="23"/>
      <c r="E276" s="23"/>
      <c r="F276" s="23"/>
      <c r="G276" s="23"/>
      <c r="H276" s="23"/>
      <c r="I276" s="24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3.5" customHeight="1">
      <c r="A277" s="23"/>
      <c r="B277" s="23"/>
      <c r="C277" s="23"/>
      <c r="D277" s="23"/>
      <c r="E277" s="23"/>
      <c r="F277" s="23"/>
      <c r="G277" s="23"/>
      <c r="H277" s="23"/>
      <c r="I277" s="24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3.5" customHeight="1">
      <c r="A278" s="23"/>
      <c r="B278" s="23"/>
      <c r="C278" s="23"/>
      <c r="D278" s="23"/>
      <c r="E278" s="23"/>
      <c r="F278" s="23"/>
      <c r="G278" s="23"/>
      <c r="H278" s="23"/>
      <c r="I278" s="24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3.5" customHeight="1">
      <c r="A279" s="23"/>
      <c r="B279" s="23"/>
      <c r="C279" s="23"/>
      <c r="D279" s="23"/>
      <c r="E279" s="23"/>
      <c r="F279" s="23"/>
      <c r="G279" s="23"/>
      <c r="H279" s="23"/>
      <c r="I279" s="24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3.5" customHeight="1">
      <c r="A280" s="23"/>
      <c r="B280" s="23"/>
      <c r="C280" s="23"/>
      <c r="D280" s="23"/>
      <c r="E280" s="23"/>
      <c r="F280" s="23"/>
      <c r="G280" s="23"/>
      <c r="H280" s="23"/>
      <c r="I280" s="24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3.5" customHeight="1">
      <c r="A281" s="23"/>
      <c r="B281" s="23"/>
      <c r="C281" s="23"/>
      <c r="D281" s="23"/>
      <c r="E281" s="23"/>
      <c r="F281" s="23"/>
      <c r="G281" s="23"/>
      <c r="H281" s="23"/>
      <c r="I281" s="24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3.5" customHeight="1">
      <c r="A282" s="23"/>
      <c r="B282" s="23"/>
      <c r="C282" s="23"/>
      <c r="D282" s="23"/>
      <c r="E282" s="23"/>
      <c r="F282" s="23"/>
      <c r="G282" s="23"/>
      <c r="H282" s="23"/>
      <c r="I282" s="24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3.5" customHeight="1">
      <c r="A283" s="23"/>
      <c r="B283" s="23"/>
      <c r="C283" s="23"/>
      <c r="D283" s="23"/>
      <c r="E283" s="23"/>
      <c r="F283" s="23"/>
      <c r="G283" s="23"/>
      <c r="H283" s="23"/>
      <c r="I283" s="24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3.5" customHeight="1">
      <c r="A284" s="23"/>
      <c r="B284" s="23"/>
      <c r="C284" s="23"/>
      <c r="D284" s="23"/>
      <c r="E284" s="23"/>
      <c r="F284" s="23"/>
      <c r="G284" s="23"/>
      <c r="H284" s="23"/>
      <c r="I284" s="24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3.5" customHeight="1">
      <c r="A285" s="23"/>
      <c r="B285" s="23"/>
      <c r="C285" s="23"/>
      <c r="D285" s="23"/>
      <c r="E285" s="23"/>
      <c r="F285" s="23"/>
      <c r="G285" s="23"/>
      <c r="H285" s="23"/>
      <c r="I285" s="24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3.5" customHeight="1">
      <c r="A286" s="23"/>
      <c r="B286" s="23"/>
      <c r="C286" s="23"/>
      <c r="D286" s="23"/>
      <c r="E286" s="23"/>
      <c r="F286" s="23"/>
      <c r="G286" s="23"/>
      <c r="H286" s="23"/>
      <c r="I286" s="24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3.5" customHeight="1">
      <c r="A287" s="23"/>
      <c r="B287" s="23"/>
      <c r="C287" s="23"/>
      <c r="D287" s="23"/>
      <c r="E287" s="23"/>
      <c r="F287" s="23"/>
      <c r="G287" s="23"/>
      <c r="H287" s="23"/>
      <c r="I287" s="24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3.5" customHeight="1">
      <c r="A288" s="23"/>
      <c r="B288" s="23"/>
      <c r="C288" s="23"/>
      <c r="D288" s="23"/>
      <c r="E288" s="23"/>
      <c r="F288" s="23"/>
      <c r="G288" s="23"/>
      <c r="H288" s="23"/>
      <c r="I288" s="24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3.5" customHeight="1">
      <c r="A289" s="23"/>
      <c r="B289" s="23"/>
      <c r="C289" s="23"/>
      <c r="D289" s="23"/>
      <c r="E289" s="23"/>
      <c r="F289" s="23"/>
      <c r="G289" s="23"/>
      <c r="H289" s="23"/>
      <c r="I289" s="24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3.5" customHeight="1">
      <c r="A290" s="23"/>
      <c r="B290" s="23"/>
      <c r="C290" s="23"/>
      <c r="D290" s="23"/>
      <c r="E290" s="23"/>
      <c r="F290" s="23"/>
      <c r="G290" s="23"/>
      <c r="H290" s="23"/>
      <c r="I290" s="24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3.5" customHeight="1">
      <c r="A291" s="23"/>
      <c r="B291" s="23"/>
      <c r="C291" s="23"/>
      <c r="D291" s="23"/>
      <c r="E291" s="23"/>
      <c r="F291" s="23"/>
      <c r="G291" s="23"/>
      <c r="H291" s="23"/>
      <c r="I291" s="24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3.5" customHeight="1">
      <c r="A292" s="23"/>
      <c r="B292" s="23"/>
      <c r="C292" s="23"/>
      <c r="D292" s="23"/>
      <c r="E292" s="23"/>
      <c r="F292" s="23"/>
      <c r="G292" s="23"/>
      <c r="H292" s="23"/>
      <c r="I292" s="24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D6:E7"/>
    <mergeCell ref="F6:G6"/>
    <mergeCell ref="F7:G7"/>
    <mergeCell ref="H6:H7"/>
    <mergeCell ref="A12:H12"/>
    <mergeCell ref="A17:H17"/>
    <mergeCell ref="A22:H22"/>
    <mergeCell ref="A27:H27"/>
    <mergeCell ref="A32:H32"/>
    <mergeCell ref="A37:H37"/>
    <mergeCell ref="C38:H38"/>
    <mergeCell ref="A2:C2"/>
    <mergeCell ref="A3:C3"/>
    <mergeCell ref="A4:A5"/>
    <mergeCell ref="B4:B5"/>
    <mergeCell ref="C4:C5"/>
    <mergeCell ref="D4:H4"/>
    <mergeCell ref="A6:A7"/>
    <mergeCell ref="B6:B7"/>
    <mergeCell ref="C6:C7"/>
    <mergeCell ref="A15:A16"/>
    <mergeCell ref="A20:A21"/>
    <mergeCell ref="A25:A26"/>
    <mergeCell ref="A35:A36"/>
    <mergeCell ref="A38:B38"/>
    <mergeCell ref="A67:C67"/>
    <mergeCell ref="A88:H88"/>
    <mergeCell ref="A89:H89"/>
    <mergeCell ref="A92:H92"/>
    <mergeCell ref="A39:B39"/>
    <mergeCell ref="A42:B42"/>
    <mergeCell ref="A43:B43"/>
    <mergeCell ref="A44:B44"/>
    <mergeCell ref="A55:H55"/>
    <mergeCell ref="D67:H67"/>
    <mergeCell ref="A83:H83"/>
  </mergeCells>
  <printOptions/>
  <pageMargins bottom="0.0" footer="0.0" header="0.0" left="0.31496062992125984" right="0.0" top="0.35433070866141736"/>
  <pageSetup scale="55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99"/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6.43"/>
    <col customWidth="1" min="3" max="3" width="26.71"/>
    <col customWidth="1" min="4" max="4" width="9.71"/>
    <col customWidth="1" min="5" max="5" width="8.71"/>
    <col customWidth="1" min="6" max="6" width="11.71"/>
    <col customWidth="1" min="7" max="7" width="12.29"/>
    <col customWidth="1" min="8" max="8" width="7.71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721</v>
      </c>
      <c r="B2" s="26"/>
      <c r="C2" s="26"/>
      <c r="D2" s="463"/>
      <c r="E2" s="463"/>
      <c r="F2" s="391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681</v>
      </c>
      <c r="B3" s="28"/>
      <c r="C3" s="28"/>
      <c r="D3" s="29" t="s">
        <v>72</v>
      </c>
      <c r="E3" s="589"/>
      <c r="F3" s="23"/>
      <c r="G3" s="590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2"/>
      <c r="B5" s="32"/>
      <c r="C5" s="32"/>
      <c r="D5" s="405" t="s">
        <v>76</v>
      </c>
      <c r="E5" s="405" t="s">
        <v>77</v>
      </c>
      <c r="F5" s="405" t="s">
        <v>78</v>
      </c>
      <c r="G5" s="405" t="s">
        <v>79</v>
      </c>
      <c r="H5" s="405" t="s">
        <v>80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140"/>
      <c r="B6" s="406"/>
      <c r="C6" s="141"/>
      <c r="D6" s="40" t="s">
        <v>82</v>
      </c>
      <c r="E6" s="39"/>
      <c r="F6" s="41" t="s">
        <v>83</v>
      </c>
      <c r="G6" s="26"/>
      <c r="H6" s="142" t="s">
        <v>186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108"/>
      <c r="C7" s="46"/>
      <c r="D7" s="47"/>
      <c r="E7" s="46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407" t="s">
        <v>722</v>
      </c>
      <c r="B8" s="408"/>
      <c r="C8" s="418" t="s">
        <v>683</v>
      </c>
      <c r="D8" s="52">
        <v>6150.0</v>
      </c>
      <c r="E8" s="53">
        <f t="shared" ref="E8:E11" si="1">SUM(D8)</f>
        <v>6150</v>
      </c>
      <c r="F8" s="53">
        <f t="shared" ref="F8:F11" si="2">D8-(D8*0.2)</f>
        <v>4920</v>
      </c>
      <c r="G8" s="53">
        <f t="shared" ref="G8:G11" si="3">E8-(E8*0.3)</f>
        <v>4305</v>
      </c>
      <c r="H8" s="53">
        <v>500.0</v>
      </c>
      <c r="I8" s="55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423" t="s">
        <v>355</v>
      </c>
      <c r="B9" s="412" t="s">
        <v>356</v>
      </c>
      <c r="C9" s="413" t="s">
        <v>684</v>
      </c>
      <c r="D9" s="52">
        <v>6600.0</v>
      </c>
      <c r="E9" s="53">
        <f t="shared" si="1"/>
        <v>6600</v>
      </c>
      <c r="F9" s="53">
        <f t="shared" si="2"/>
        <v>5280</v>
      </c>
      <c r="G9" s="53">
        <f t="shared" si="3"/>
        <v>4620</v>
      </c>
      <c r="H9" s="53">
        <v>500.0</v>
      </c>
      <c r="I9" s="5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424" t="s">
        <v>616</v>
      </c>
      <c r="B10" s="412" t="s">
        <v>695</v>
      </c>
      <c r="C10" s="413" t="s">
        <v>686</v>
      </c>
      <c r="D10" s="52">
        <v>6950.0</v>
      </c>
      <c r="E10" s="53">
        <f t="shared" si="1"/>
        <v>6950</v>
      </c>
      <c r="F10" s="53">
        <f t="shared" si="2"/>
        <v>5560</v>
      </c>
      <c r="G10" s="53">
        <f t="shared" si="3"/>
        <v>4865</v>
      </c>
      <c r="H10" s="53">
        <v>500.0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424"/>
      <c r="B11" s="496"/>
      <c r="C11" s="418" t="s">
        <v>687</v>
      </c>
      <c r="D11" s="52">
        <v>6250.0</v>
      </c>
      <c r="E11" s="53">
        <f t="shared" si="1"/>
        <v>6250</v>
      </c>
      <c r="F11" s="53">
        <f t="shared" si="2"/>
        <v>5000</v>
      </c>
      <c r="G11" s="53">
        <f t="shared" si="3"/>
        <v>4375</v>
      </c>
      <c r="H11" s="53">
        <v>500.0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4.5" customHeight="1">
      <c r="A12" s="597"/>
      <c r="B12" s="598"/>
      <c r="C12" s="598"/>
      <c r="D12" s="598"/>
      <c r="E12" s="598"/>
      <c r="F12" s="598"/>
      <c r="G12" s="598"/>
      <c r="H12" s="599"/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407" t="s">
        <v>723</v>
      </c>
      <c r="B13" s="408"/>
      <c r="C13" s="418" t="s">
        <v>683</v>
      </c>
      <c r="D13" s="52">
        <v>6600.0</v>
      </c>
      <c r="E13" s="53">
        <f t="shared" ref="E13:E16" si="4">SUM(D13)</f>
        <v>6600</v>
      </c>
      <c r="F13" s="53">
        <f t="shared" ref="F13:F16" si="5">D13-(D13*0.2)</f>
        <v>5280</v>
      </c>
      <c r="G13" s="53">
        <f t="shared" ref="G13:G16" si="6">E13-(E13*0.3)</f>
        <v>4620</v>
      </c>
      <c r="H13" s="53">
        <v>500.0</v>
      </c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592" t="s">
        <v>355</v>
      </c>
      <c r="B14" s="412" t="s">
        <v>356</v>
      </c>
      <c r="C14" s="413" t="s">
        <v>684</v>
      </c>
      <c r="D14" s="52">
        <v>7750.0</v>
      </c>
      <c r="E14" s="53">
        <f t="shared" si="4"/>
        <v>7750</v>
      </c>
      <c r="F14" s="53">
        <f t="shared" si="5"/>
        <v>6200</v>
      </c>
      <c r="G14" s="53">
        <f t="shared" si="6"/>
        <v>5425</v>
      </c>
      <c r="H14" s="53">
        <v>500.0</v>
      </c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593" t="s">
        <v>689</v>
      </c>
      <c r="B15" s="412" t="s">
        <v>695</v>
      </c>
      <c r="C15" s="413" t="s">
        <v>686</v>
      </c>
      <c r="D15" s="52">
        <v>8050.0</v>
      </c>
      <c r="E15" s="53">
        <f t="shared" si="4"/>
        <v>8050</v>
      </c>
      <c r="F15" s="53">
        <f t="shared" si="5"/>
        <v>6440</v>
      </c>
      <c r="G15" s="53">
        <f t="shared" si="6"/>
        <v>5635</v>
      </c>
      <c r="H15" s="53">
        <v>500.0</v>
      </c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495"/>
      <c r="B16" s="496"/>
      <c r="C16" s="418" t="s">
        <v>687</v>
      </c>
      <c r="D16" s="52">
        <v>7000.0</v>
      </c>
      <c r="E16" s="53">
        <f t="shared" si="4"/>
        <v>7000</v>
      </c>
      <c r="F16" s="53">
        <f t="shared" si="5"/>
        <v>5600</v>
      </c>
      <c r="G16" s="53">
        <f t="shared" si="6"/>
        <v>4900</v>
      </c>
      <c r="H16" s="53">
        <v>500.0</v>
      </c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3.75" customHeight="1">
      <c r="A17" s="597"/>
      <c r="B17" s="598"/>
      <c r="C17" s="598"/>
      <c r="D17" s="598"/>
      <c r="E17" s="598"/>
      <c r="F17" s="598"/>
      <c r="G17" s="598"/>
      <c r="H17" s="599"/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6.5" customHeight="1">
      <c r="A18" s="407" t="s">
        <v>724</v>
      </c>
      <c r="B18" s="408"/>
      <c r="C18" s="418" t="s">
        <v>683</v>
      </c>
      <c r="D18" s="52">
        <v>7050.0</v>
      </c>
      <c r="E18" s="53">
        <f t="shared" ref="E18:E21" si="7">SUM(D18)</f>
        <v>7050</v>
      </c>
      <c r="F18" s="53">
        <f t="shared" ref="F18:F21" si="8">D18-(D18*0.2)</f>
        <v>5640</v>
      </c>
      <c r="G18" s="53">
        <f t="shared" ref="G18:G21" si="9">E18-(E18*0.3)</f>
        <v>4935</v>
      </c>
      <c r="H18" s="53">
        <v>500.0</v>
      </c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6.5" customHeight="1">
      <c r="A19" s="522" t="s">
        <v>355</v>
      </c>
      <c r="B19" s="412" t="s">
        <v>356</v>
      </c>
      <c r="C19" s="413" t="s">
        <v>684</v>
      </c>
      <c r="D19" s="52">
        <v>7280.0</v>
      </c>
      <c r="E19" s="53">
        <f t="shared" si="7"/>
        <v>7280</v>
      </c>
      <c r="F19" s="53">
        <f t="shared" si="8"/>
        <v>5824</v>
      </c>
      <c r="G19" s="53">
        <f t="shared" si="9"/>
        <v>5096</v>
      </c>
      <c r="H19" s="53">
        <v>500.0</v>
      </c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6.5" customHeight="1">
      <c r="A20" s="566" t="s">
        <v>691</v>
      </c>
      <c r="B20" s="412" t="s">
        <v>695</v>
      </c>
      <c r="C20" s="413" t="s">
        <v>686</v>
      </c>
      <c r="D20" s="52">
        <v>7600.0</v>
      </c>
      <c r="E20" s="53">
        <f t="shared" si="7"/>
        <v>7600</v>
      </c>
      <c r="F20" s="53">
        <f t="shared" si="8"/>
        <v>6080</v>
      </c>
      <c r="G20" s="53">
        <f t="shared" si="9"/>
        <v>5320</v>
      </c>
      <c r="H20" s="53">
        <v>500.0</v>
      </c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6.5" customHeight="1">
      <c r="A21" s="415"/>
      <c r="B21" s="496"/>
      <c r="C21" s="418" t="s">
        <v>687</v>
      </c>
      <c r="D21" s="52">
        <v>6780.0</v>
      </c>
      <c r="E21" s="53">
        <f t="shared" si="7"/>
        <v>6780</v>
      </c>
      <c r="F21" s="53">
        <f t="shared" si="8"/>
        <v>5424</v>
      </c>
      <c r="G21" s="53">
        <f t="shared" si="9"/>
        <v>4746</v>
      </c>
      <c r="H21" s="53">
        <v>500.0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4.5" customHeight="1">
      <c r="A22" s="597"/>
      <c r="B22" s="598"/>
      <c r="C22" s="598"/>
      <c r="D22" s="598"/>
      <c r="E22" s="598"/>
      <c r="F22" s="598"/>
      <c r="G22" s="598"/>
      <c r="H22" s="599"/>
      <c r="I22" s="5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6.5" customHeight="1">
      <c r="A23" s="407" t="s">
        <v>725</v>
      </c>
      <c r="B23" s="408"/>
      <c r="C23" s="418" t="s">
        <v>683</v>
      </c>
      <c r="D23" s="52">
        <v>7500.0</v>
      </c>
      <c r="E23" s="53">
        <f t="shared" ref="E23:E26" si="10">SUM(D23)</f>
        <v>7500</v>
      </c>
      <c r="F23" s="53">
        <f t="shared" ref="F23:F26" si="11">D23-(D23*0.2)</f>
        <v>6000</v>
      </c>
      <c r="G23" s="53">
        <f t="shared" ref="G23:G26" si="12">E23-(E23*0.3)</f>
        <v>5250</v>
      </c>
      <c r="H23" s="53">
        <v>500.0</v>
      </c>
      <c r="I23" s="5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6.5" customHeight="1">
      <c r="A24" s="594" t="s">
        <v>355</v>
      </c>
      <c r="B24" s="412" t="s">
        <v>356</v>
      </c>
      <c r="C24" s="413" t="s">
        <v>684</v>
      </c>
      <c r="D24" s="52">
        <v>8050.0</v>
      </c>
      <c r="E24" s="53">
        <f t="shared" si="10"/>
        <v>8050</v>
      </c>
      <c r="F24" s="53">
        <f t="shared" si="11"/>
        <v>6440</v>
      </c>
      <c r="G24" s="53">
        <f t="shared" si="12"/>
        <v>5635</v>
      </c>
      <c r="H24" s="53">
        <v>500.0</v>
      </c>
      <c r="I24" s="5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6.5" customHeight="1">
      <c r="A25" s="595" t="s">
        <v>693</v>
      </c>
      <c r="B25" s="412" t="s">
        <v>695</v>
      </c>
      <c r="C25" s="413" t="s">
        <v>686</v>
      </c>
      <c r="D25" s="52">
        <v>8380.0</v>
      </c>
      <c r="E25" s="53">
        <f t="shared" si="10"/>
        <v>8380</v>
      </c>
      <c r="F25" s="53">
        <f t="shared" si="11"/>
        <v>6704</v>
      </c>
      <c r="G25" s="53">
        <f t="shared" si="12"/>
        <v>5866</v>
      </c>
      <c r="H25" s="53">
        <v>500.0</v>
      </c>
      <c r="I25" s="5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6.5" customHeight="1">
      <c r="A26" s="415"/>
      <c r="B26" s="496"/>
      <c r="C26" s="418" t="s">
        <v>687</v>
      </c>
      <c r="D26" s="52">
        <v>7250.0</v>
      </c>
      <c r="E26" s="53">
        <f t="shared" si="10"/>
        <v>7250</v>
      </c>
      <c r="F26" s="53">
        <f t="shared" si="11"/>
        <v>5800</v>
      </c>
      <c r="G26" s="53">
        <f t="shared" si="12"/>
        <v>5075</v>
      </c>
      <c r="H26" s="53">
        <v>500.0</v>
      </c>
      <c r="I26" s="55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0.5" customHeight="1">
      <c r="A27" s="596"/>
      <c r="B27" s="5"/>
      <c r="C27" s="5"/>
      <c r="D27" s="5"/>
      <c r="E27" s="5"/>
      <c r="F27" s="5"/>
      <c r="G27" s="5"/>
      <c r="H27" s="6"/>
      <c r="I27" s="55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6.5" customHeight="1">
      <c r="A28" s="407" t="s">
        <v>726</v>
      </c>
      <c r="B28" s="408"/>
      <c r="C28" s="418" t="s">
        <v>683</v>
      </c>
      <c r="D28" s="52">
        <v>4400.0</v>
      </c>
      <c r="E28" s="53">
        <f t="shared" ref="E28:E31" si="13">SUM(D28)</f>
        <v>4400</v>
      </c>
      <c r="F28" s="53">
        <f t="shared" ref="F28:F31" si="14">D28-(D28*0.2)</f>
        <v>3520</v>
      </c>
      <c r="G28" s="53">
        <f t="shared" ref="G28:G31" si="15">E28-(E28*0.3)</f>
        <v>3080</v>
      </c>
      <c r="H28" s="53">
        <v>500.0</v>
      </c>
      <c r="I28" s="55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6.5" customHeight="1">
      <c r="A29" s="423" t="s">
        <v>355</v>
      </c>
      <c r="B29" s="412" t="s">
        <v>413</v>
      </c>
      <c r="C29" s="413" t="s">
        <v>684</v>
      </c>
      <c r="D29" s="52">
        <v>4650.0</v>
      </c>
      <c r="E29" s="53">
        <f t="shared" si="13"/>
        <v>4650</v>
      </c>
      <c r="F29" s="53">
        <f t="shared" si="14"/>
        <v>3720</v>
      </c>
      <c r="G29" s="53">
        <f t="shared" si="15"/>
        <v>3255</v>
      </c>
      <c r="H29" s="53">
        <v>500.0</v>
      </c>
      <c r="I29" s="55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6.5" customHeight="1">
      <c r="A30" s="424" t="s">
        <v>616</v>
      </c>
      <c r="B30" s="412" t="s">
        <v>685</v>
      </c>
      <c r="C30" s="413" t="s">
        <v>686</v>
      </c>
      <c r="D30" s="52">
        <v>4900.0</v>
      </c>
      <c r="E30" s="53">
        <f t="shared" si="13"/>
        <v>4900</v>
      </c>
      <c r="F30" s="53">
        <f t="shared" si="14"/>
        <v>3920</v>
      </c>
      <c r="G30" s="53">
        <f t="shared" si="15"/>
        <v>3430</v>
      </c>
      <c r="H30" s="53">
        <v>500.0</v>
      </c>
      <c r="I30" s="55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6.5" customHeight="1">
      <c r="A31" s="424"/>
      <c r="B31" s="496"/>
      <c r="C31" s="418" t="s">
        <v>687</v>
      </c>
      <c r="D31" s="52">
        <v>4550.0</v>
      </c>
      <c r="E31" s="53">
        <f t="shared" si="13"/>
        <v>4550</v>
      </c>
      <c r="F31" s="53">
        <f t="shared" si="14"/>
        <v>3640</v>
      </c>
      <c r="G31" s="53">
        <f t="shared" si="15"/>
        <v>3185</v>
      </c>
      <c r="H31" s="53">
        <v>500.0</v>
      </c>
      <c r="I31" s="55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4.5" customHeight="1">
      <c r="A32" s="597"/>
      <c r="B32" s="598"/>
      <c r="C32" s="598"/>
      <c r="D32" s="598"/>
      <c r="E32" s="598"/>
      <c r="F32" s="598"/>
      <c r="G32" s="598"/>
      <c r="H32" s="599"/>
      <c r="I32" s="55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6.5" customHeight="1">
      <c r="A33" s="407" t="s">
        <v>727</v>
      </c>
      <c r="B33" s="408"/>
      <c r="C33" s="418" t="s">
        <v>683</v>
      </c>
      <c r="D33" s="52">
        <v>4650.0</v>
      </c>
      <c r="E33" s="53">
        <f t="shared" ref="E33:E36" si="16">SUM(D33)</f>
        <v>4650</v>
      </c>
      <c r="F33" s="53">
        <f t="shared" ref="F33:F36" si="17">D33-(D33*0.2)</f>
        <v>3720</v>
      </c>
      <c r="G33" s="53">
        <f t="shared" ref="G33:G36" si="18">E33-(E33*0.3)</f>
        <v>3255</v>
      </c>
      <c r="H33" s="53">
        <v>500.0</v>
      </c>
      <c r="I33" s="55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6.5" customHeight="1">
      <c r="A34" s="592" t="s">
        <v>355</v>
      </c>
      <c r="B34" s="412" t="s">
        <v>413</v>
      </c>
      <c r="C34" s="413" t="s">
        <v>684</v>
      </c>
      <c r="D34" s="52">
        <v>5250.0</v>
      </c>
      <c r="E34" s="53">
        <f t="shared" si="16"/>
        <v>5250</v>
      </c>
      <c r="F34" s="53">
        <f t="shared" si="17"/>
        <v>4200</v>
      </c>
      <c r="G34" s="53">
        <f t="shared" si="18"/>
        <v>3675</v>
      </c>
      <c r="H34" s="53">
        <v>500.0</v>
      </c>
      <c r="I34" s="55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6.5" customHeight="1">
      <c r="A35" s="593" t="s">
        <v>689</v>
      </c>
      <c r="B35" s="412" t="s">
        <v>685</v>
      </c>
      <c r="C35" s="413" t="s">
        <v>686</v>
      </c>
      <c r="D35" s="52">
        <v>5480.0</v>
      </c>
      <c r="E35" s="53">
        <f t="shared" si="16"/>
        <v>5480</v>
      </c>
      <c r="F35" s="53">
        <f t="shared" si="17"/>
        <v>4384</v>
      </c>
      <c r="G35" s="53">
        <f t="shared" si="18"/>
        <v>3836</v>
      </c>
      <c r="H35" s="53">
        <v>500.0</v>
      </c>
      <c r="I35" s="55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6.5" customHeight="1">
      <c r="A36" s="495"/>
      <c r="B36" s="496"/>
      <c r="C36" s="418" t="s">
        <v>687</v>
      </c>
      <c r="D36" s="52">
        <v>4950.0</v>
      </c>
      <c r="E36" s="53">
        <f t="shared" si="16"/>
        <v>4950</v>
      </c>
      <c r="F36" s="53">
        <f t="shared" si="17"/>
        <v>3960</v>
      </c>
      <c r="G36" s="53">
        <f t="shared" si="18"/>
        <v>3465</v>
      </c>
      <c r="H36" s="53">
        <v>500.0</v>
      </c>
      <c r="I36" s="55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4.5" customHeight="1">
      <c r="A37" s="597"/>
      <c r="B37" s="598"/>
      <c r="C37" s="598"/>
      <c r="D37" s="598"/>
      <c r="E37" s="598"/>
      <c r="F37" s="598"/>
      <c r="G37" s="598"/>
      <c r="H37" s="599"/>
      <c r="I37" s="55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6.5" customHeight="1">
      <c r="A38" s="407" t="s">
        <v>728</v>
      </c>
      <c r="B38" s="408"/>
      <c r="C38" s="418" t="s">
        <v>683</v>
      </c>
      <c r="D38" s="52">
        <v>4850.0</v>
      </c>
      <c r="E38" s="53">
        <f t="shared" ref="E38:E41" si="19">SUM(D38)</f>
        <v>4850</v>
      </c>
      <c r="F38" s="53">
        <f t="shared" ref="F38:F41" si="20">D38-(D38*0.2)</f>
        <v>3880</v>
      </c>
      <c r="G38" s="53">
        <f t="shared" ref="G38:G41" si="21">E38-(E38*0.3)</f>
        <v>3395</v>
      </c>
      <c r="H38" s="53">
        <v>500.0</v>
      </c>
      <c r="I38" s="55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6.5" customHeight="1">
      <c r="A39" s="522" t="s">
        <v>355</v>
      </c>
      <c r="B39" s="412" t="s">
        <v>413</v>
      </c>
      <c r="C39" s="413" t="s">
        <v>684</v>
      </c>
      <c r="D39" s="52">
        <v>5000.0</v>
      </c>
      <c r="E39" s="53">
        <f t="shared" si="19"/>
        <v>5000</v>
      </c>
      <c r="F39" s="53">
        <f t="shared" si="20"/>
        <v>4000</v>
      </c>
      <c r="G39" s="53">
        <f t="shared" si="21"/>
        <v>3500</v>
      </c>
      <c r="H39" s="53">
        <v>500.0</v>
      </c>
      <c r="I39" s="55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6.5" customHeight="1">
      <c r="A40" s="566" t="s">
        <v>691</v>
      </c>
      <c r="B40" s="412" t="s">
        <v>685</v>
      </c>
      <c r="C40" s="413" t="s">
        <v>686</v>
      </c>
      <c r="D40" s="52">
        <v>5250.0</v>
      </c>
      <c r="E40" s="53">
        <f t="shared" si="19"/>
        <v>5250</v>
      </c>
      <c r="F40" s="53">
        <f t="shared" si="20"/>
        <v>4200</v>
      </c>
      <c r="G40" s="53">
        <f t="shared" si="21"/>
        <v>3675</v>
      </c>
      <c r="H40" s="53">
        <v>500.0</v>
      </c>
      <c r="I40" s="55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6.5" customHeight="1">
      <c r="A41" s="415"/>
      <c r="B41" s="496"/>
      <c r="C41" s="418" t="s">
        <v>687</v>
      </c>
      <c r="D41" s="52">
        <v>4800.0</v>
      </c>
      <c r="E41" s="53">
        <f t="shared" si="19"/>
        <v>4800</v>
      </c>
      <c r="F41" s="53">
        <f t="shared" si="20"/>
        <v>3840</v>
      </c>
      <c r="G41" s="53">
        <f t="shared" si="21"/>
        <v>3360</v>
      </c>
      <c r="H41" s="53">
        <v>500.0</v>
      </c>
      <c r="I41" s="55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4.5" customHeight="1">
      <c r="A42" s="597"/>
      <c r="B42" s="598"/>
      <c r="C42" s="598"/>
      <c r="D42" s="598"/>
      <c r="E42" s="598"/>
      <c r="F42" s="598"/>
      <c r="G42" s="598"/>
      <c r="H42" s="599"/>
      <c r="I42" s="55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6.5" customHeight="1">
      <c r="A43" s="407" t="s">
        <v>729</v>
      </c>
      <c r="B43" s="408"/>
      <c r="C43" s="418" t="s">
        <v>683</v>
      </c>
      <c r="D43" s="52">
        <v>5080.0</v>
      </c>
      <c r="E43" s="53">
        <f t="shared" ref="E43:E46" si="22">SUM(D43)</f>
        <v>5080</v>
      </c>
      <c r="F43" s="53">
        <f t="shared" ref="F43:F46" si="23">D43-(D43*0.2)</f>
        <v>4064</v>
      </c>
      <c r="G43" s="53">
        <f t="shared" ref="G43:G46" si="24">E43-(E43*0.3)</f>
        <v>3556</v>
      </c>
      <c r="H43" s="53">
        <v>500.0</v>
      </c>
      <c r="I43" s="55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6.5" customHeight="1">
      <c r="A44" s="594" t="s">
        <v>355</v>
      </c>
      <c r="B44" s="412" t="s">
        <v>413</v>
      </c>
      <c r="C44" s="413" t="s">
        <v>684</v>
      </c>
      <c r="D44" s="52">
        <v>5250.0</v>
      </c>
      <c r="E44" s="53">
        <f t="shared" si="22"/>
        <v>5250</v>
      </c>
      <c r="F44" s="53">
        <f t="shared" si="23"/>
        <v>4200</v>
      </c>
      <c r="G44" s="53">
        <f t="shared" si="24"/>
        <v>3675</v>
      </c>
      <c r="H44" s="53">
        <v>500.0</v>
      </c>
      <c r="I44" s="55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6.5" customHeight="1">
      <c r="A45" s="595" t="s">
        <v>693</v>
      </c>
      <c r="B45" s="412" t="s">
        <v>685</v>
      </c>
      <c r="C45" s="413" t="s">
        <v>686</v>
      </c>
      <c r="D45" s="52">
        <v>5480.0</v>
      </c>
      <c r="E45" s="53">
        <f t="shared" si="22"/>
        <v>5480</v>
      </c>
      <c r="F45" s="53">
        <f t="shared" si="23"/>
        <v>4384</v>
      </c>
      <c r="G45" s="53">
        <f t="shared" si="24"/>
        <v>3836</v>
      </c>
      <c r="H45" s="53">
        <v>500.0</v>
      </c>
      <c r="I45" s="55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6.5" customHeight="1">
      <c r="A46" s="415"/>
      <c r="B46" s="496"/>
      <c r="C46" s="418" t="s">
        <v>687</v>
      </c>
      <c r="D46" s="52">
        <v>4980.0</v>
      </c>
      <c r="E46" s="53">
        <f t="shared" si="22"/>
        <v>4980</v>
      </c>
      <c r="F46" s="53">
        <f t="shared" si="23"/>
        <v>3984</v>
      </c>
      <c r="G46" s="53">
        <f t="shared" si="24"/>
        <v>3486</v>
      </c>
      <c r="H46" s="53">
        <v>500.0</v>
      </c>
      <c r="I46" s="55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24.0" customHeight="1">
      <c r="A47" s="484" t="s">
        <v>373</v>
      </c>
      <c r="B47" s="485"/>
      <c r="C47" s="485"/>
      <c r="D47" s="485"/>
      <c r="E47" s="485"/>
      <c r="F47" s="485"/>
      <c r="G47" s="485"/>
      <c r="H47" s="486"/>
      <c r="I47" s="487"/>
      <c r="J47" s="24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6.5" customHeight="1">
      <c r="A48" s="404" t="s">
        <v>96</v>
      </c>
      <c r="B48" s="5"/>
      <c r="C48" s="404" t="s">
        <v>97</v>
      </c>
      <c r="D48" s="5"/>
      <c r="E48" s="5"/>
      <c r="F48" s="5"/>
      <c r="G48" s="5"/>
      <c r="H48" s="6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0" customHeight="1">
      <c r="A49" s="152" t="s">
        <v>98</v>
      </c>
      <c r="B49" s="38"/>
      <c r="C49" s="153" t="s">
        <v>99</v>
      </c>
      <c r="D49" s="62"/>
      <c r="E49" s="62"/>
      <c r="F49" s="62"/>
      <c r="G49" s="62"/>
      <c r="H49" s="6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0" customHeight="1">
      <c r="A50" s="64" t="s">
        <v>246</v>
      </c>
      <c r="B50" s="85"/>
      <c r="C50" s="64" t="s">
        <v>101</v>
      </c>
      <c r="D50" s="65"/>
      <c r="E50" s="65"/>
      <c r="F50" s="65"/>
      <c r="G50" s="65"/>
      <c r="H50" s="67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0" customHeight="1">
      <c r="A51" s="436" t="s">
        <v>417</v>
      </c>
      <c r="B51" s="85"/>
      <c r="C51" s="70" t="s">
        <v>697</v>
      </c>
      <c r="D51" s="65"/>
      <c r="E51" s="65"/>
      <c r="F51" s="65"/>
      <c r="G51" s="65"/>
      <c r="H51" s="67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0" customHeight="1">
      <c r="A52" s="60" t="s">
        <v>376</v>
      </c>
      <c r="C52" s="70" t="s">
        <v>105</v>
      </c>
      <c r="D52" s="65"/>
      <c r="E52" s="65"/>
      <c r="F52" s="65"/>
      <c r="G52" s="65"/>
      <c r="H52" s="67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0" customHeight="1">
      <c r="A53" s="69" t="s">
        <v>104</v>
      </c>
      <c r="C53" s="437" t="s">
        <v>109</v>
      </c>
      <c r="D53" s="74"/>
      <c r="E53" s="74"/>
      <c r="F53" s="74"/>
      <c r="G53" s="74"/>
      <c r="H53" s="75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0" customHeight="1">
      <c r="A54" s="69" t="s">
        <v>106</v>
      </c>
      <c r="C54" s="70" t="s">
        <v>630</v>
      </c>
      <c r="D54" s="65"/>
      <c r="E54" s="65"/>
      <c r="F54" s="65"/>
      <c r="G54" s="65"/>
      <c r="H54" s="67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0" customHeight="1">
      <c r="A55" s="71" t="s">
        <v>730</v>
      </c>
      <c r="B55" s="23"/>
      <c r="C55" s="70"/>
      <c r="D55" s="65"/>
      <c r="E55" s="65"/>
      <c r="F55" s="65"/>
      <c r="G55" s="65"/>
      <c r="H55" s="67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4.25" customHeight="1">
      <c r="A56" s="438" t="s">
        <v>731</v>
      </c>
      <c r="B56" s="23"/>
      <c r="C56" s="70"/>
      <c r="D56" s="65"/>
      <c r="E56" s="65"/>
      <c r="F56" s="65"/>
      <c r="G56" s="65"/>
      <c r="H56" s="67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71" t="s">
        <v>216</v>
      </c>
      <c r="B57" s="23"/>
      <c r="C57" s="64"/>
      <c r="D57" s="65"/>
      <c r="E57" s="65"/>
      <c r="F57" s="65"/>
      <c r="G57" s="65"/>
      <c r="H57" s="67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0" customHeight="1">
      <c r="A58" s="71" t="s">
        <v>732</v>
      </c>
      <c r="B58" s="23"/>
      <c r="C58" s="71"/>
      <c r="D58" s="65"/>
      <c r="E58" s="65"/>
      <c r="F58" s="65"/>
      <c r="G58" s="65"/>
      <c r="H58" s="67"/>
      <c r="I58" s="24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0" customHeight="1">
      <c r="A59" s="71" t="s">
        <v>733</v>
      </c>
      <c r="B59" s="23"/>
      <c r="C59" s="71"/>
      <c r="D59" s="65"/>
      <c r="E59" s="65"/>
      <c r="F59" s="65"/>
      <c r="G59" s="65"/>
      <c r="H59" s="67"/>
      <c r="I59" s="24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0" customHeight="1">
      <c r="A60" s="71" t="s">
        <v>734</v>
      </c>
      <c r="B60" s="23"/>
      <c r="C60" s="71"/>
      <c r="D60" s="65"/>
      <c r="E60" s="65"/>
      <c r="F60" s="65"/>
      <c r="G60" s="65"/>
      <c r="H60" s="67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0" customHeight="1">
      <c r="A61" s="71" t="s">
        <v>385</v>
      </c>
      <c r="B61" s="23"/>
      <c r="C61" s="439" t="s">
        <v>384</v>
      </c>
      <c r="D61" s="440"/>
      <c r="E61" s="440"/>
      <c r="F61" s="440"/>
      <c r="G61" s="440"/>
      <c r="H61" s="441"/>
      <c r="I61" s="24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0" customHeight="1">
      <c r="A62" s="71" t="s">
        <v>388</v>
      </c>
      <c r="B62" s="23"/>
      <c r="C62" s="71" t="s">
        <v>735</v>
      </c>
      <c r="D62" s="65"/>
      <c r="E62" s="65"/>
      <c r="F62" s="65" t="s">
        <v>736</v>
      </c>
      <c r="G62" s="65"/>
      <c r="H62" s="67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0" customHeight="1">
      <c r="A63" s="71"/>
      <c r="B63" s="23"/>
      <c r="C63" s="86"/>
      <c r="D63" s="156"/>
      <c r="E63" s="156"/>
      <c r="F63" s="156" t="s">
        <v>737</v>
      </c>
      <c r="G63" s="156"/>
      <c r="H63" s="442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0" customHeight="1">
      <c r="A64" s="404" t="s">
        <v>393</v>
      </c>
      <c r="B64" s="5"/>
      <c r="C64" s="5"/>
      <c r="D64" s="5"/>
      <c r="E64" s="5"/>
      <c r="F64" s="5"/>
      <c r="G64" s="5"/>
      <c r="H64" s="6"/>
      <c r="I64" s="24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0" customHeight="1">
      <c r="A65" s="453"/>
      <c r="B65" s="454"/>
      <c r="C65" s="455" t="s">
        <v>738</v>
      </c>
      <c r="D65" s="454"/>
      <c r="E65" s="454"/>
      <c r="F65" s="454"/>
      <c r="G65" s="454"/>
      <c r="H65" s="600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449" t="s">
        <v>114</v>
      </c>
      <c r="B66" s="23" t="s">
        <v>115</v>
      </c>
      <c r="C66" s="85" t="s">
        <v>137</v>
      </c>
      <c r="D66" s="85"/>
      <c r="E66" s="106"/>
      <c r="F66" s="106"/>
      <c r="G66" s="106"/>
      <c r="H66" s="450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451" t="s">
        <v>117</v>
      </c>
      <c r="B67" s="85" t="s">
        <v>224</v>
      </c>
      <c r="C67" s="85" t="s">
        <v>225</v>
      </c>
      <c r="D67" s="85"/>
      <c r="E67" s="106"/>
      <c r="F67" s="106"/>
      <c r="G67" s="106"/>
      <c r="H67" s="450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451" t="s">
        <v>121</v>
      </c>
      <c r="B68" s="85" t="s">
        <v>708</v>
      </c>
      <c r="C68" s="85" t="s">
        <v>225</v>
      </c>
      <c r="D68" s="85"/>
      <c r="E68" s="106"/>
      <c r="F68" s="106"/>
      <c r="G68" s="106"/>
      <c r="H68" s="450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451" t="s">
        <v>194</v>
      </c>
      <c r="B69" s="85" t="s">
        <v>118</v>
      </c>
      <c r="C69" s="85" t="s">
        <v>225</v>
      </c>
      <c r="D69" s="85"/>
      <c r="E69" s="106"/>
      <c r="F69" s="106"/>
      <c r="G69" s="106"/>
      <c r="H69" s="450"/>
      <c r="I69" s="24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452" t="s">
        <v>253</v>
      </c>
      <c r="B70" s="161" t="s">
        <v>122</v>
      </c>
      <c r="C70" s="161" t="s">
        <v>119</v>
      </c>
      <c r="D70" s="156"/>
      <c r="E70" s="156"/>
      <c r="F70" s="156"/>
      <c r="G70" s="156"/>
      <c r="H70" s="442"/>
      <c r="I70" s="24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0" customHeight="1">
      <c r="A71" s="453"/>
      <c r="B71" s="454"/>
      <c r="C71" s="455" t="s">
        <v>739</v>
      </c>
      <c r="D71" s="85"/>
      <c r="E71" s="106"/>
      <c r="F71" s="106"/>
      <c r="G71" s="106"/>
      <c r="H71" s="450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0" customHeight="1">
      <c r="A72" s="449" t="s">
        <v>114</v>
      </c>
      <c r="B72" s="23" t="s">
        <v>115</v>
      </c>
      <c r="C72" s="85" t="s">
        <v>137</v>
      </c>
      <c r="D72" s="85"/>
      <c r="E72" s="106"/>
      <c r="F72" s="106"/>
      <c r="G72" s="106"/>
      <c r="H72" s="450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0" customHeight="1">
      <c r="A73" s="451" t="s">
        <v>117</v>
      </c>
      <c r="B73" s="85" t="s">
        <v>224</v>
      </c>
      <c r="C73" s="85" t="s">
        <v>225</v>
      </c>
      <c r="D73" s="85"/>
      <c r="E73" s="106"/>
      <c r="F73" s="106"/>
      <c r="G73" s="106"/>
      <c r="H73" s="450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0" customHeight="1">
      <c r="A74" s="451" t="s">
        <v>121</v>
      </c>
      <c r="B74" s="85" t="s">
        <v>118</v>
      </c>
      <c r="C74" s="85" t="s">
        <v>740</v>
      </c>
      <c r="D74" s="85"/>
      <c r="E74" s="106"/>
      <c r="F74" s="106"/>
      <c r="G74" s="106"/>
      <c r="H74" s="450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0" customHeight="1">
      <c r="A75" s="451" t="s">
        <v>194</v>
      </c>
      <c r="B75" s="85" t="s">
        <v>708</v>
      </c>
      <c r="C75" s="85" t="s">
        <v>225</v>
      </c>
      <c r="D75" s="85"/>
      <c r="E75" s="106"/>
      <c r="F75" s="106"/>
      <c r="G75" s="106"/>
      <c r="H75" s="450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0" customHeight="1">
      <c r="A76" s="452" t="s">
        <v>253</v>
      </c>
      <c r="B76" s="161" t="s">
        <v>122</v>
      </c>
      <c r="C76" s="161" t="s">
        <v>119</v>
      </c>
      <c r="D76" s="161"/>
      <c r="E76" s="101"/>
      <c r="F76" s="101"/>
      <c r="G76" s="101"/>
      <c r="H76" s="157"/>
      <c r="I76" s="2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2.75" customHeight="1">
      <c r="A77" s="404" t="s">
        <v>148</v>
      </c>
      <c r="B77" s="5"/>
      <c r="C77" s="5"/>
      <c r="D77" s="492" t="s">
        <v>149</v>
      </c>
      <c r="E77" s="5"/>
      <c r="F77" s="5"/>
      <c r="G77" s="5"/>
      <c r="H77" s="6"/>
      <c r="I77" s="24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ht="13.5" customHeight="1">
      <c r="A78" s="459" t="s">
        <v>741</v>
      </c>
      <c r="B78" s="460"/>
      <c r="C78" s="461"/>
      <c r="D78" s="118">
        <v>1.0</v>
      </c>
      <c r="E78" s="62" t="s">
        <v>151</v>
      </c>
      <c r="F78" s="62"/>
      <c r="G78" s="119"/>
      <c r="H78" s="120"/>
      <c r="I78" s="24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13.5" customHeight="1">
      <c r="A79" s="116" t="s">
        <v>742</v>
      </c>
      <c r="B79" s="91"/>
      <c r="C79" s="165"/>
      <c r="D79" s="121">
        <v>0.5</v>
      </c>
      <c r="E79" s="122" t="s">
        <v>153</v>
      </c>
      <c r="F79" s="122"/>
      <c r="G79" s="123"/>
      <c r="H79" s="124"/>
      <c r="I79" s="24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125" t="s">
        <v>743</v>
      </c>
      <c r="B80" s="23"/>
      <c r="C80" s="72"/>
      <c r="D80" s="121">
        <v>0.0</v>
      </c>
      <c r="E80" s="122" t="s">
        <v>155</v>
      </c>
      <c r="F80" s="122"/>
      <c r="G80" s="123"/>
      <c r="H80" s="124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127" t="s">
        <v>744</v>
      </c>
      <c r="B81" s="23"/>
      <c r="C81" s="72"/>
      <c r="D81" s="129"/>
      <c r="E81" s="65"/>
      <c r="F81" s="65"/>
      <c r="G81" s="130"/>
      <c r="H81" s="131"/>
      <c r="I81" s="2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127" t="s">
        <v>745</v>
      </c>
      <c r="B82" s="23"/>
      <c r="C82" s="72"/>
      <c r="D82" s="71"/>
      <c r="E82" s="23"/>
      <c r="F82" s="23"/>
      <c r="G82" s="23"/>
      <c r="H82" s="72"/>
      <c r="I82" s="2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127" t="s">
        <v>746</v>
      </c>
      <c r="B83" s="23"/>
      <c r="C83" s="72"/>
      <c r="D83" s="23"/>
      <c r="E83" s="23"/>
      <c r="F83" s="23"/>
      <c r="G83" s="23"/>
      <c r="H83" s="72"/>
      <c r="I83" s="2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127" t="s">
        <v>747</v>
      </c>
      <c r="B84" s="23"/>
      <c r="C84" s="72"/>
      <c r="D84" s="23"/>
      <c r="E84" s="23"/>
      <c r="F84" s="23"/>
      <c r="G84" s="23"/>
      <c r="H84" s="72"/>
      <c r="I84" s="2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127" t="s">
        <v>748</v>
      </c>
      <c r="B85" s="23"/>
      <c r="C85" s="72"/>
      <c r="D85" s="23"/>
      <c r="E85" s="23"/>
      <c r="F85" s="23"/>
      <c r="G85" s="23"/>
      <c r="H85" s="72"/>
      <c r="I85" s="2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132" t="s">
        <v>161</v>
      </c>
      <c r="B86" s="134" t="s">
        <v>163</v>
      </c>
      <c r="C86" s="72"/>
      <c r="D86" s="23"/>
      <c r="E86" s="23"/>
      <c r="F86" s="23"/>
      <c r="G86" s="23"/>
      <c r="H86" s="72"/>
      <c r="I86" s="2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125" t="s">
        <v>749</v>
      </c>
      <c r="B87" s="23"/>
      <c r="C87" s="72"/>
      <c r="D87" s="23"/>
      <c r="E87" s="23"/>
      <c r="F87" s="23"/>
      <c r="G87" s="23"/>
      <c r="H87" s="72"/>
      <c r="I87" s="24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71" t="s">
        <v>164</v>
      </c>
      <c r="B88" s="135" t="s">
        <v>165</v>
      </c>
      <c r="C88" s="462"/>
      <c r="D88" s="23"/>
      <c r="E88" s="23"/>
      <c r="F88" s="23"/>
      <c r="G88" s="23"/>
      <c r="H88" s="72"/>
      <c r="I88" s="2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71" t="s">
        <v>166</v>
      </c>
      <c r="B89" s="135" t="s">
        <v>167</v>
      </c>
      <c r="C89" s="462"/>
      <c r="D89" s="23"/>
      <c r="E89" s="23"/>
      <c r="F89" s="23"/>
      <c r="G89" s="23"/>
      <c r="H89" s="72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71" t="s">
        <v>168</v>
      </c>
      <c r="B90" s="135" t="s">
        <v>169</v>
      </c>
      <c r="C90" s="462"/>
      <c r="D90" s="23"/>
      <c r="E90" s="23"/>
      <c r="F90" s="23"/>
      <c r="G90" s="23"/>
      <c r="H90" s="72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71" t="s">
        <v>170</v>
      </c>
      <c r="B91" s="23" t="s">
        <v>171</v>
      </c>
      <c r="C91" s="72"/>
      <c r="D91" s="23"/>
      <c r="E91" s="23"/>
      <c r="F91" s="23"/>
      <c r="G91" s="23"/>
      <c r="H91" s="72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3.5" customHeight="1">
      <c r="A92" s="86" t="s">
        <v>172</v>
      </c>
      <c r="B92" s="87" t="s">
        <v>173</v>
      </c>
      <c r="C92" s="136"/>
      <c r="D92" s="87"/>
      <c r="E92" s="87"/>
      <c r="F92" s="87"/>
      <c r="G92" s="87"/>
      <c r="H92" s="136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3.5" customHeight="1">
      <c r="A93" s="456" t="s">
        <v>174</v>
      </c>
      <c r="B93" s="28"/>
      <c r="C93" s="28"/>
      <c r="D93" s="28"/>
      <c r="E93" s="28"/>
      <c r="F93" s="28"/>
      <c r="G93" s="28"/>
      <c r="H93" s="458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3.5" customHeight="1">
      <c r="A94" s="64" t="s">
        <v>175</v>
      </c>
      <c r="B94" s="65"/>
      <c r="C94" s="65"/>
      <c r="D94" s="65"/>
      <c r="E94" s="65"/>
      <c r="F94" s="65"/>
      <c r="G94" s="65"/>
      <c r="H94" s="67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3.5" customHeight="1">
      <c r="A95" s="64" t="s">
        <v>176</v>
      </c>
      <c r="B95" s="65"/>
      <c r="C95" s="65"/>
      <c r="D95" s="65"/>
      <c r="E95" s="65"/>
      <c r="F95" s="65"/>
      <c r="G95" s="65"/>
      <c r="H95" s="67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3.5" customHeight="1">
      <c r="A96" s="64" t="s">
        <v>177</v>
      </c>
      <c r="B96" s="65"/>
      <c r="C96" s="65"/>
      <c r="D96" s="65"/>
      <c r="E96" s="65"/>
      <c r="F96" s="65"/>
      <c r="G96" s="65"/>
      <c r="H96" s="67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3.5" customHeight="1">
      <c r="A97" s="64" t="s">
        <v>750</v>
      </c>
      <c r="B97" s="65"/>
      <c r="C97" s="65"/>
      <c r="D97" s="65"/>
      <c r="E97" s="65"/>
      <c r="F97" s="65"/>
      <c r="G97" s="65"/>
      <c r="H97" s="67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0" customHeight="1">
      <c r="A98" s="60" t="s">
        <v>179</v>
      </c>
      <c r="H98" s="61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3.5" customHeight="1">
      <c r="A99" s="137" t="s">
        <v>180</v>
      </c>
      <c r="H99" s="61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3.5" customHeight="1">
      <c r="A100" s="138" t="s">
        <v>181</v>
      </c>
      <c r="B100" s="65"/>
      <c r="C100" s="65"/>
      <c r="D100" s="65"/>
      <c r="E100" s="65"/>
      <c r="F100" s="65"/>
      <c r="G100" s="65"/>
      <c r="H100" s="67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3.5" customHeight="1">
      <c r="A101" s="64" t="s">
        <v>182</v>
      </c>
      <c r="B101" s="65"/>
      <c r="C101" s="65"/>
      <c r="D101" s="65"/>
      <c r="E101" s="65"/>
      <c r="F101" s="65"/>
      <c r="G101" s="65"/>
      <c r="H101" s="67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26.25" customHeight="1">
      <c r="A102" s="78" t="s">
        <v>751</v>
      </c>
      <c r="B102" s="45"/>
      <c r="C102" s="45"/>
      <c r="D102" s="45"/>
      <c r="E102" s="45"/>
      <c r="F102" s="45"/>
      <c r="G102" s="45"/>
      <c r="H102" s="46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3.5" customHeight="1">
      <c r="A271" s="23"/>
      <c r="B271" s="23"/>
      <c r="C271" s="23"/>
      <c r="D271" s="23"/>
      <c r="E271" s="23"/>
      <c r="F271" s="23"/>
      <c r="G271" s="23"/>
      <c r="H271" s="23"/>
      <c r="I271" s="24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3.5" customHeight="1">
      <c r="A272" s="23"/>
      <c r="B272" s="23"/>
      <c r="C272" s="23"/>
      <c r="D272" s="23"/>
      <c r="E272" s="23"/>
      <c r="F272" s="23"/>
      <c r="G272" s="23"/>
      <c r="H272" s="23"/>
      <c r="I272" s="24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3.5" customHeight="1">
      <c r="A273" s="23"/>
      <c r="B273" s="23"/>
      <c r="C273" s="23"/>
      <c r="D273" s="23"/>
      <c r="E273" s="23"/>
      <c r="F273" s="23"/>
      <c r="G273" s="23"/>
      <c r="H273" s="23"/>
      <c r="I273" s="24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3.5" customHeight="1">
      <c r="A274" s="23"/>
      <c r="B274" s="23"/>
      <c r="C274" s="23"/>
      <c r="D274" s="23"/>
      <c r="E274" s="23"/>
      <c r="F274" s="23"/>
      <c r="G274" s="23"/>
      <c r="H274" s="23"/>
      <c r="I274" s="24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3.5" customHeight="1">
      <c r="A275" s="23"/>
      <c r="B275" s="23"/>
      <c r="C275" s="23"/>
      <c r="D275" s="23"/>
      <c r="E275" s="23"/>
      <c r="F275" s="23"/>
      <c r="G275" s="23"/>
      <c r="H275" s="23"/>
      <c r="I275" s="24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3.5" customHeight="1">
      <c r="A276" s="23"/>
      <c r="B276" s="23"/>
      <c r="C276" s="23"/>
      <c r="D276" s="23"/>
      <c r="E276" s="23"/>
      <c r="F276" s="23"/>
      <c r="G276" s="23"/>
      <c r="H276" s="23"/>
      <c r="I276" s="24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3.5" customHeight="1">
      <c r="A277" s="23"/>
      <c r="B277" s="23"/>
      <c r="C277" s="23"/>
      <c r="D277" s="23"/>
      <c r="E277" s="23"/>
      <c r="F277" s="23"/>
      <c r="G277" s="23"/>
      <c r="H277" s="23"/>
      <c r="I277" s="24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3.5" customHeight="1">
      <c r="A278" s="23"/>
      <c r="B278" s="23"/>
      <c r="C278" s="23"/>
      <c r="D278" s="23"/>
      <c r="E278" s="23"/>
      <c r="F278" s="23"/>
      <c r="G278" s="23"/>
      <c r="H278" s="23"/>
      <c r="I278" s="24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3.5" customHeight="1">
      <c r="A279" s="23"/>
      <c r="B279" s="23"/>
      <c r="C279" s="23"/>
      <c r="D279" s="23"/>
      <c r="E279" s="23"/>
      <c r="F279" s="23"/>
      <c r="G279" s="23"/>
      <c r="H279" s="23"/>
      <c r="I279" s="24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3.5" customHeight="1">
      <c r="A280" s="23"/>
      <c r="B280" s="23"/>
      <c r="C280" s="23"/>
      <c r="D280" s="23"/>
      <c r="E280" s="23"/>
      <c r="F280" s="23"/>
      <c r="G280" s="23"/>
      <c r="H280" s="23"/>
      <c r="I280" s="24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3.5" customHeight="1">
      <c r="A281" s="23"/>
      <c r="B281" s="23"/>
      <c r="C281" s="23"/>
      <c r="D281" s="23"/>
      <c r="E281" s="23"/>
      <c r="F281" s="23"/>
      <c r="G281" s="23"/>
      <c r="H281" s="23"/>
      <c r="I281" s="24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3.5" customHeight="1">
      <c r="A282" s="23"/>
      <c r="B282" s="23"/>
      <c r="C282" s="23"/>
      <c r="D282" s="23"/>
      <c r="E282" s="23"/>
      <c r="F282" s="23"/>
      <c r="G282" s="23"/>
      <c r="H282" s="23"/>
      <c r="I282" s="24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3.5" customHeight="1">
      <c r="A283" s="23"/>
      <c r="B283" s="23"/>
      <c r="C283" s="23"/>
      <c r="D283" s="23"/>
      <c r="E283" s="23"/>
      <c r="F283" s="23"/>
      <c r="G283" s="23"/>
      <c r="H283" s="23"/>
      <c r="I283" s="24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3.5" customHeight="1">
      <c r="A284" s="23"/>
      <c r="B284" s="23"/>
      <c r="C284" s="23"/>
      <c r="D284" s="23"/>
      <c r="E284" s="23"/>
      <c r="F284" s="23"/>
      <c r="G284" s="23"/>
      <c r="H284" s="23"/>
      <c r="I284" s="24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3.5" customHeight="1">
      <c r="A285" s="23"/>
      <c r="B285" s="23"/>
      <c r="C285" s="23"/>
      <c r="D285" s="23"/>
      <c r="E285" s="23"/>
      <c r="F285" s="23"/>
      <c r="G285" s="23"/>
      <c r="H285" s="23"/>
      <c r="I285" s="24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3.5" customHeight="1">
      <c r="A286" s="23"/>
      <c r="B286" s="23"/>
      <c r="C286" s="23"/>
      <c r="D286" s="23"/>
      <c r="E286" s="23"/>
      <c r="F286" s="23"/>
      <c r="G286" s="23"/>
      <c r="H286" s="23"/>
      <c r="I286" s="24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3.5" customHeight="1">
      <c r="A287" s="23"/>
      <c r="B287" s="23"/>
      <c r="C287" s="23"/>
      <c r="D287" s="23"/>
      <c r="E287" s="23"/>
      <c r="F287" s="23"/>
      <c r="G287" s="23"/>
      <c r="H287" s="23"/>
      <c r="I287" s="24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3.5" customHeight="1">
      <c r="A288" s="23"/>
      <c r="B288" s="23"/>
      <c r="C288" s="23"/>
      <c r="D288" s="23"/>
      <c r="E288" s="23"/>
      <c r="F288" s="23"/>
      <c r="G288" s="23"/>
      <c r="H288" s="23"/>
      <c r="I288" s="24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3.5" customHeight="1">
      <c r="A289" s="23"/>
      <c r="B289" s="23"/>
      <c r="C289" s="23"/>
      <c r="D289" s="23"/>
      <c r="E289" s="23"/>
      <c r="F289" s="23"/>
      <c r="G289" s="23"/>
      <c r="H289" s="23"/>
      <c r="I289" s="24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3.5" customHeight="1">
      <c r="A290" s="23"/>
      <c r="B290" s="23"/>
      <c r="C290" s="23"/>
      <c r="D290" s="23"/>
      <c r="E290" s="23"/>
      <c r="F290" s="23"/>
      <c r="G290" s="23"/>
      <c r="H290" s="23"/>
      <c r="I290" s="24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3.5" customHeight="1">
      <c r="A291" s="23"/>
      <c r="B291" s="23"/>
      <c r="C291" s="23"/>
      <c r="D291" s="23"/>
      <c r="E291" s="23"/>
      <c r="F291" s="23"/>
      <c r="G291" s="23"/>
      <c r="H291" s="23"/>
      <c r="I291" s="24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3.5" customHeight="1">
      <c r="A292" s="23"/>
      <c r="B292" s="23"/>
      <c r="C292" s="23"/>
      <c r="D292" s="23"/>
      <c r="E292" s="23"/>
      <c r="F292" s="23"/>
      <c r="G292" s="23"/>
      <c r="H292" s="23"/>
      <c r="I292" s="24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3.5" customHeight="1">
      <c r="A293" s="23"/>
      <c r="B293" s="23"/>
      <c r="C293" s="23"/>
      <c r="D293" s="23"/>
      <c r="E293" s="23"/>
      <c r="F293" s="23"/>
      <c r="G293" s="23"/>
      <c r="H293" s="23"/>
      <c r="I293" s="24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3.5" customHeight="1">
      <c r="A294" s="23"/>
      <c r="B294" s="23"/>
      <c r="C294" s="23"/>
      <c r="D294" s="23"/>
      <c r="E294" s="23"/>
      <c r="F294" s="23"/>
      <c r="G294" s="23"/>
      <c r="H294" s="23"/>
      <c r="I294" s="24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3.5" customHeight="1">
      <c r="A295" s="23"/>
      <c r="B295" s="23"/>
      <c r="C295" s="23"/>
      <c r="D295" s="23"/>
      <c r="E295" s="23"/>
      <c r="F295" s="23"/>
      <c r="G295" s="23"/>
      <c r="H295" s="23"/>
      <c r="I295" s="24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3.5" customHeight="1">
      <c r="A296" s="23"/>
      <c r="B296" s="23"/>
      <c r="C296" s="23"/>
      <c r="D296" s="23"/>
      <c r="E296" s="23"/>
      <c r="F296" s="23"/>
      <c r="G296" s="23"/>
      <c r="H296" s="23"/>
      <c r="I296" s="24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3.5" customHeight="1">
      <c r="A297" s="23"/>
      <c r="B297" s="23"/>
      <c r="C297" s="23"/>
      <c r="D297" s="23"/>
      <c r="E297" s="23"/>
      <c r="F297" s="23"/>
      <c r="G297" s="23"/>
      <c r="H297" s="23"/>
      <c r="I297" s="24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3.5" customHeight="1">
      <c r="A298" s="23"/>
      <c r="B298" s="23"/>
      <c r="C298" s="23"/>
      <c r="D298" s="23"/>
      <c r="E298" s="23"/>
      <c r="F298" s="23"/>
      <c r="G298" s="23"/>
      <c r="H298" s="23"/>
      <c r="I298" s="24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3.5" customHeight="1">
      <c r="A299" s="23"/>
      <c r="B299" s="23"/>
      <c r="C299" s="23"/>
      <c r="D299" s="23"/>
      <c r="E299" s="23"/>
      <c r="F299" s="23"/>
      <c r="G299" s="23"/>
      <c r="H299" s="23"/>
      <c r="I299" s="24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3.5" customHeight="1">
      <c r="A300" s="23"/>
      <c r="B300" s="23"/>
      <c r="C300" s="23"/>
      <c r="D300" s="23"/>
      <c r="E300" s="23"/>
      <c r="F300" s="23"/>
      <c r="G300" s="23"/>
      <c r="H300" s="23"/>
      <c r="I300" s="24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3.5" customHeight="1">
      <c r="A301" s="23"/>
      <c r="B301" s="23"/>
      <c r="C301" s="23"/>
      <c r="D301" s="23"/>
      <c r="E301" s="23"/>
      <c r="F301" s="23"/>
      <c r="G301" s="23"/>
      <c r="H301" s="23"/>
      <c r="I301" s="24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3.5" customHeight="1">
      <c r="A302" s="23"/>
      <c r="B302" s="23"/>
      <c r="C302" s="23"/>
      <c r="D302" s="23"/>
      <c r="E302" s="23"/>
      <c r="F302" s="23"/>
      <c r="G302" s="23"/>
      <c r="H302" s="23"/>
      <c r="I302" s="24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D6:E7"/>
    <mergeCell ref="F6:G6"/>
    <mergeCell ref="F7:G7"/>
    <mergeCell ref="A2:C2"/>
    <mergeCell ref="A3:C3"/>
    <mergeCell ref="A4:A5"/>
    <mergeCell ref="B4:B5"/>
    <mergeCell ref="C4:C5"/>
    <mergeCell ref="D4:H4"/>
    <mergeCell ref="A6:A7"/>
    <mergeCell ref="H6:H7"/>
    <mergeCell ref="B6:B7"/>
    <mergeCell ref="C6:C7"/>
    <mergeCell ref="A15:A16"/>
    <mergeCell ref="A20:A21"/>
    <mergeCell ref="A25:A26"/>
    <mergeCell ref="A27:H27"/>
    <mergeCell ref="A35:A36"/>
    <mergeCell ref="A40:A41"/>
    <mergeCell ref="A45:A46"/>
    <mergeCell ref="A47:H47"/>
    <mergeCell ref="A48:B48"/>
    <mergeCell ref="C48:H48"/>
    <mergeCell ref="A49:B49"/>
    <mergeCell ref="A52:B52"/>
    <mergeCell ref="A99:H99"/>
    <mergeCell ref="A102:H102"/>
    <mergeCell ref="A53:B53"/>
    <mergeCell ref="A54:B54"/>
    <mergeCell ref="A64:H64"/>
    <mergeCell ref="A77:C77"/>
    <mergeCell ref="D77:H77"/>
    <mergeCell ref="A93:H93"/>
    <mergeCell ref="A98:H98"/>
  </mergeCells>
  <printOptions/>
  <pageMargins bottom="0.0" footer="0.0" header="0.0" left="0.31496062992125984" right="0.0" top="0.15748031496062992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6.43"/>
    <col customWidth="1" min="3" max="3" width="26.71"/>
    <col customWidth="1" min="4" max="5" width="9.71"/>
    <col customWidth="1" min="6" max="6" width="11.71"/>
    <col customWidth="1" min="7" max="7" width="12.29"/>
    <col customWidth="1" min="8" max="8" width="9.71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752</v>
      </c>
      <c r="B2" s="26"/>
      <c r="C2" s="26"/>
      <c r="D2" s="463"/>
      <c r="E2" s="463"/>
      <c r="F2" s="391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410</v>
      </c>
      <c r="B3" s="28"/>
      <c r="C3" s="28"/>
      <c r="D3" s="29" t="s">
        <v>72</v>
      </c>
      <c r="E3" s="589"/>
      <c r="F3" s="23"/>
      <c r="G3" s="590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2"/>
      <c r="B5" s="32"/>
      <c r="C5" s="32"/>
      <c r="D5" s="405" t="s">
        <v>76</v>
      </c>
      <c r="E5" s="405" t="s">
        <v>77</v>
      </c>
      <c r="F5" s="405" t="s">
        <v>78</v>
      </c>
      <c r="G5" s="405" t="s">
        <v>79</v>
      </c>
      <c r="H5" s="405" t="s">
        <v>80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140"/>
      <c r="B6" s="406"/>
      <c r="C6" s="141"/>
      <c r="D6" s="40" t="s">
        <v>82</v>
      </c>
      <c r="E6" s="39"/>
      <c r="F6" s="41" t="s">
        <v>83</v>
      </c>
      <c r="G6" s="26"/>
      <c r="H6" s="142" t="s">
        <v>186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108"/>
      <c r="C7" s="46"/>
      <c r="D7" s="47"/>
      <c r="E7" s="46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407" t="s">
        <v>753</v>
      </c>
      <c r="B8" s="408"/>
      <c r="C8" s="418"/>
      <c r="D8" s="52"/>
      <c r="E8" s="53"/>
      <c r="F8" s="53"/>
      <c r="G8" s="53"/>
      <c r="H8" s="53"/>
      <c r="I8" s="55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423" t="s">
        <v>355</v>
      </c>
      <c r="B9" s="412" t="s">
        <v>356</v>
      </c>
      <c r="C9" s="413" t="s">
        <v>754</v>
      </c>
      <c r="D9" s="52">
        <v>3850.0</v>
      </c>
      <c r="E9" s="53">
        <f t="shared" ref="E9:E11" si="1">SUM(D9)</f>
        <v>3850</v>
      </c>
      <c r="F9" s="53">
        <f t="shared" ref="F9:F11" si="2">D9-(D9*0.2)</f>
        <v>3080</v>
      </c>
      <c r="G9" s="53">
        <f t="shared" ref="G9:G11" si="3">E9-(E9*0.3)</f>
        <v>2695</v>
      </c>
      <c r="H9" s="53">
        <v>500.0</v>
      </c>
      <c r="I9" s="5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424" t="s">
        <v>755</v>
      </c>
      <c r="B10" s="412" t="s">
        <v>756</v>
      </c>
      <c r="C10" s="413" t="s">
        <v>363</v>
      </c>
      <c r="D10" s="52">
        <v>4200.0</v>
      </c>
      <c r="E10" s="53">
        <f t="shared" si="1"/>
        <v>4200</v>
      </c>
      <c r="F10" s="53">
        <f t="shared" si="2"/>
        <v>3360</v>
      </c>
      <c r="G10" s="53">
        <f t="shared" si="3"/>
        <v>2940</v>
      </c>
      <c r="H10" s="53">
        <v>500.0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424"/>
      <c r="B11" s="496"/>
      <c r="C11" s="418" t="s">
        <v>364</v>
      </c>
      <c r="D11" s="52">
        <v>4900.0</v>
      </c>
      <c r="E11" s="53">
        <f t="shared" si="1"/>
        <v>4900</v>
      </c>
      <c r="F11" s="53">
        <f t="shared" si="2"/>
        <v>3920</v>
      </c>
      <c r="G11" s="53">
        <f t="shared" si="3"/>
        <v>3430</v>
      </c>
      <c r="H11" s="53">
        <v>500.0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4.5" customHeight="1">
      <c r="A12" s="581"/>
      <c r="B12" s="582"/>
      <c r="C12" s="582"/>
      <c r="D12" s="582"/>
      <c r="E12" s="581"/>
      <c r="F12" s="582"/>
      <c r="G12" s="582"/>
      <c r="H12" s="582"/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407" t="s">
        <v>757</v>
      </c>
      <c r="B13" s="408"/>
      <c r="C13" s="418"/>
      <c r="D13" s="52"/>
      <c r="E13" s="53"/>
      <c r="F13" s="53"/>
      <c r="G13" s="53"/>
      <c r="H13" s="53"/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592" t="s">
        <v>355</v>
      </c>
      <c r="B14" s="412" t="s">
        <v>356</v>
      </c>
      <c r="C14" s="413" t="s">
        <v>754</v>
      </c>
      <c r="D14" s="52">
        <v>4350.0</v>
      </c>
      <c r="E14" s="53">
        <f t="shared" ref="E14:E16" si="4">SUM(D14)</f>
        <v>4350</v>
      </c>
      <c r="F14" s="53">
        <f t="shared" ref="F14:F16" si="5">D14-(D14*0.2)</f>
        <v>3480</v>
      </c>
      <c r="G14" s="53">
        <f t="shared" ref="G14:G16" si="6">E14-(E14*0.3)</f>
        <v>3045</v>
      </c>
      <c r="H14" s="53">
        <v>500.0</v>
      </c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593" t="s">
        <v>758</v>
      </c>
      <c r="B15" s="412" t="s">
        <v>756</v>
      </c>
      <c r="C15" s="413" t="s">
        <v>363</v>
      </c>
      <c r="D15" s="52">
        <v>4980.0</v>
      </c>
      <c r="E15" s="53">
        <f t="shared" si="4"/>
        <v>4980</v>
      </c>
      <c r="F15" s="53">
        <f t="shared" si="5"/>
        <v>3984</v>
      </c>
      <c r="G15" s="53">
        <f t="shared" si="6"/>
        <v>3486</v>
      </c>
      <c r="H15" s="53">
        <v>500.0</v>
      </c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495"/>
      <c r="B16" s="496"/>
      <c r="C16" s="418" t="s">
        <v>364</v>
      </c>
      <c r="D16" s="52">
        <v>5980.0</v>
      </c>
      <c r="E16" s="53">
        <f t="shared" si="4"/>
        <v>5980</v>
      </c>
      <c r="F16" s="53">
        <f t="shared" si="5"/>
        <v>4784</v>
      </c>
      <c r="G16" s="53">
        <f t="shared" si="6"/>
        <v>4186</v>
      </c>
      <c r="H16" s="53">
        <v>500.0</v>
      </c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4.5" customHeight="1">
      <c r="A17" s="581"/>
      <c r="B17" s="582"/>
      <c r="C17" s="582"/>
      <c r="D17" s="582"/>
      <c r="E17" s="581"/>
      <c r="F17" s="582"/>
      <c r="G17" s="582"/>
      <c r="H17" s="582"/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6.5" customHeight="1">
      <c r="A18" s="407" t="s">
        <v>759</v>
      </c>
      <c r="B18" s="408"/>
      <c r="C18" s="418"/>
      <c r="D18" s="52"/>
      <c r="E18" s="53"/>
      <c r="F18" s="53"/>
      <c r="G18" s="53"/>
      <c r="H18" s="53"/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6.5" customHeight="1">
      <c r="A19" s="522" t="s">
        <v>355</v>
      </c>
      <c r="B19" s="412" t="s">
        <v>356</v>
      </c>
      <c r="C19" s="413" t="s">
        <v>754</v>
      </c>
      <c r="D19" s="52">
        <v>4250.0</v>
      </c>
      <c r="E19" s="53">
        <f t="shared" ref="E19:E21" si="7">SUM(D19)</f>
        <v>4250</v>
      </c>
      <c r="F19" s="53">
        <f t="shared" ref="F19:F21" si="8">D19-(D19*0.2)</f>
        <v>3400</v>
      </c>
      <c r="G19" s="53">
        <f t="shared" ref="G19:G21" si="9">E19-(E19*0.3)</f>
        <v>2975</v>
      </c>
      <c r="H19" s="53">
        <v>500.0</v>
      </c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6.5" customHeight="1">
      <c r="A20" s="566" t="s">
        <v>367</v>
      </c>
      <c r="B20" s="412" t="s">
        <v>756</v>
      </c>
      <c r="C20" s="413" t="s">
        <v>363</v>
      </c>
      <c r="D20" s="52">
        <v>4600.0</v>
      </c>
      <c r="E20" s="53">
        <f t="shared" si="7"/>
        <v>4600</v>
      </c>
      <c r="F20" s="53">
        <f t="shared" si="8"/>
        <v>3680</v>
      </c>
      <c r="G20" s="53">
        <f t="shared" si="9"/>
        <v>3220</v>
      </c>
      <c r="H20" s="53">
        <v>500.0</v>
      </c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6.5" customHeight="1">
      <c r="A21" s="415"/>
      <c r="B21" s="496"/>
      <c r="C21" s="418" t="s">
        <v>364</v>
      </c>
      <c r="D21" s="52">
        <v>5500.0</v>
      </c>
      <c r="E21" s="53">
        <f t="shared" si="7"/>
        <v>5500</v>
      </c>
      <c r="F21" s="53">
        <f t="shared" si="8"/>
        <v>4400</v>
      </c>
      <c r="G21" s="53">
        <f t="shared" si="9"/>
        <v>3850</v>
      </c>
      <c r="H21" s="53">
        <v>500.0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4.5" customHeight="1">
      <c r="A22" s="581"/>
      <c r="B22" s="582"/>
      <c r="C22" s="582"/>
      <c r="D22" s="582"/>
      <c r="E22" s="581"/>
      <c r="F22" s="582"/>
      <c r="G22" s="582"/>
      <c r="H22" s="582"/>
      <c r="I22" s="5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6.5" customHeight="1">
      <c r="A23" s="407" t="s">
        <v>760</v>
      </c>
      <c r="B23" s="408"/>
      <c r="C23" s="418"/>
      <c r="D23" s="52"/>
      <c r="E23" s="53"/>
      <c r="F23" s="53"/>
      <c r="G23" s="53"/>
      <c r="H23" s="53"/>
      <c r="I23" s="5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6.5" customHeight="1">
      <c r="A24" s="594" t="s">
        <v>355</v>
      </c>
      <c r="B24" s="412" t="s">
        <v>356</v>
      </c>
      <c r="C24" s="413" t="s">
        <v>754</v>
      </c>
      <c r="D24" s="52">
        <v>4750.0</v>
      </c>
      <c r="E24" s="53">
        <f t="shared" ref="E24:E26" si="10">SUM(D24)</f>
        <v>4750</v>
      </c>
      <c r="F24" s="53">
        <f t="shared" ref="F24:F26" si="11">D24-(D24*0.2)</f>
        <v>3800</v>
      </c>
      <c r="G24" s="53">
        <f t="shared" ref="G24:G26" si="12">E24-(E24*0.3)</f>
        <v>3325</v>
      </c>
      <c r="H24" s="53">
        <v>500.0</v>
      </c>
      <c r="I24" s="5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6.5" customHeight="1">
      <c r="A25" s="595" t="s">
        <v>761</v>
      </c>
      <c r="B25" s="412" t="s">
        <v>756</v>
      </c>
      <c r="C25" s="413" t="s">
        <v>363</v>
      </c>
      <c r="D25" s="52">
        <v>5280.0</v>
      </c>
      <c r="E25" s="53">
        <f t="shared" si="10"/>
        <v>5280</v>
      </c>
      <c r="F25" s="53">
        <f t="shared" si="11"/>
        <v>4224</v>
      </c>
      <c r="G25" s="53">
        <f t="shared" si="12"/>
        <v>3696</v>
      </c>
      <c r="H25" s="53">
        <v>500.0</v>
      </c>
      <c r="I25" s="5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6.5" customHeight="1">
      <c r="A26" s="415"/>
      <c r="B26" s="496"/>
      <c r="C26" s="418" t="s">
        <v>364</v>
      </c>
      <c r="D26" s="52">
        <v>6350.0</v>
      </c>
      <c r="E26" s="53">
        <f t="shared" si="10"/>
        <v>6350</v>
      </c>
      <c r="F26" s="53">
        <f t="shared" si="11"/>
        <v>5080</v>
      </c>
      <c r="G26" s="53">
        <f t="shared" si="12"/>
        <v>4445</v>
      </c>
      <c r="H26" s="53">
        <v>500.0</v>
      </c>
      <c r="I26" s="55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0.5" customHeight="1">
      <c r="A27" s="596"/>
      <c r="B27" s="5"/>
      <c r="C27" s="5"/>
      <c r="D27" s="5"/>
      <c r="E27" s="5"/>
      <c r="F27" s="5"/>
      <c r="G27" s="5"/>
      <c r="H27" s="6"/>
      <c r="I27" s="55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6.5" customHeight="1">
      <c r="A28" s="407" t="s">
        <v>762</v>
      </c>
      <c r="B28" s="408"/>
      <c r="C28" s="418"/>
      <c r="D28" s="52"/>
      <c r="E28" s="53"/>
      <c r="F28" s="53"/>
      <c r="G28" s="53"/>
      <c r="H28" s="53"/>
      <c r="I28" s="55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6.5" customHeight="1">
      <c r="A29" s="423" t="s">
        <v>355</v>
      </c>
      <c r="B29" s="412" t="s">
        <v>369</v>
      </c>
      <c r="C29" s="413" t="s">
        <v>754</v>
      </c>
      <c r="D29" s="52">
        <v>4550.0</v>
      </c>
      <c r="E29" s="53">
        <f t="shared" ref="E29:E31" si="13">SUM(D29)</f>
        <v>4550</v>
      </c>
      <c r="F29" s="53">
        <f t="shared" ref="F29:F31" si="14">D29-(D29*0.2)</f>
        <v>3640</v>
      </c>
      <c r="G29" s="53">
        <f t="shared" ref="G29:G31" si="15">E29-(E29*0.3)</f>
        <v>3185</v>
      </c>
      <c r="H29" s="53">
        <v>500.0</v>
      </c>
      <c r="I29" s="55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6.5" customHeight="1">
      <c r="A30" s="424" t="s">
        <v>755</v>
      </c>
      <c r="B30" s="412" t="s">
        <v>763</v>
      </c>
      <c r="C30" s="413" t="s">
        <v>363</v>
      </c>
      <c r="D30" s="52">
        <v>4980.0</v>
      </c>
      <c r="E30" s="53">
        <f t="shared" si="13"/>
        <v>4980</v>
      </c>
      <c r="F30" s="53">
        <f t="shared" si="14"/>
        <v>3984</v>
      </c>
      <c r="G30" s="53">
        <f t="shared" si="15"/>
        <v>3486</v>
      </c>
      <c r="H30" s="53">
        <v>500.0</v>
      </c>
      <c r="I30" s="55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6.5" customHeight="1">
      <c r="A31" s="424"/>
      <c r="B31" s="471"/>
      <c r="C31" s="418" t="s">
        <v>364</v>
      </c>
      <c r="D31" s="52">
        <v>5980.0</v>
      </c>
      <c r="E31" s="53">
        <f t="shared" si="13"/>
        <v>5980</v>
      </c>
      <c r="F31" s="53">
        <f t="shared" si="14"/>
        <v>4784</v>
      </c>
      <c r="G31" s="53">
        <f t="shared" si="15"/>
        <v>4186</v>
      </c>
      <c r="H31" s="53">
        <v>500.0</v>
      </c>
      <c r="I31" s="55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4.5" customHeight="1">
      <c r="A32" s="581"/>
      <c r="B32" s="582"/>
      <c r="C32" s="582"/>
      <c r="D32" s="582"/>
      <c r="E32" s="581"/>
      <c r="F32" s="582"/>
      <c r="G32" s="582"/>
      <c r="H32" s="582"/>
      <c r="I32" s="55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6.5" customHeight="1">
      <c r="A33" s="407" t="s">
        <v>764</v>
      </c>
      <c r="B33" s="408"/>
      <c r="C33" s="418"/>
      <c r="D33" s="52"/>
      <c r="E33" s="53"/>
      <c r="F33" s="53"/>
      <c r="G33" s="53"/>
      <c r="H33" s="53"/>
      <c r="I33" s="55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6.5" customHeight="1">
      <c r="A34" s="594" t="s">
        <v>355</v>
      </c>
      <c r="B34" s="412" t="s">
        <v>369</v>
      </c>
      <c r="C34" s="413" t="s">
        <v>754</v>
      </c>
      <c r="D34" s="52">
        <v>6250.0</v>
      </c>
      <c r="E34" s="53">
        <f t="shared" ref="E34:E36" si="16">SUM(D34)</f>
        <v>6250</v>
      </c>
      <c r="F34" s="53">
        <f t="shared" ref="F34:F36" si="17">D34-(D34*0.2)</f>
        <v>5000</v>
      </c>
      <c r="G34" s="53">
        <f t="shared" ref="G34:G36" si="18">E34-(E34*0.3)</f>
        <v>4375</v>
      </c>
      <c r="H34" s="53">
        <v>500.0</v>
      </c>
      <c r="I34" s="55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6.5" customHeight="1">
      <c r="A35" s="595" t="s">
        <v>761</v>
      </c>
      <c r="B35" s="412" t="s">
        <v>763</v>
      </c>
      <c r="C35" s="413" t="s">
        <v>363</v>
      </c>
      <c r="D35" s="52">
        <v>7150.0</v>
      </c>
      <c r="E35" s="53">
        <f t="shared" si="16"/>
        <v>7150</v>
      </c>
      <c r="F35" s="53">
        <f t="shared" si="17"/>
        <v>5720</v>
      </c>
      <c r="G35" s="53">
        <f t="shared" si="18"/>
        <v>5005</v>
      </c>
      <c r="H35" s="53">
        <v>500.0</v>
      </c>
      <c r="I35" s="55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6.5" customHeight="1">
      <c r="A36" s="415"/>
      <c r="B36" s="471"/>
      <c r="C36" s="418" t="s">
        <v>364</v>
      </c>
      <c r="D36" s="52">
        <v>8500.0</v>
      </c>
      <c r="E36" s="53">
        <f t="shared" si="16"/>
        <v>8500</v>
      </c>
      <c r="F36" s="53">
        <f t="shared" si="17"/>
        <v>6800</v>
      </c>
      <c r="G36" s="53">
        <f t="shared" si="18"/>
        <v>5950</v>
      </c>
      <c r="H36" s="53">
        <v>500.0</v>
      </c>
      <c r="I36" s="55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24.0" customHeight="1">
      <c r="A37" s="484" t="s">
        <v>373</v>
      </c>
      <c r="B37" s="485"/>
      <c r="C37" s="485"/>
      <c r="D37" s="485"/>
      <c r="E37" s="485"/>
      <c r="F37" s="485"/>
      <c r="G37" s="485"/>
      <c r="H37" s="486"/>
      <c r="I37" s="487"/>
      <c r="J37" s="24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6.5" customHeight="1">
      <c r="A38" s="404" t="s">
        <v>96</v>
      </c>
      <c r="B38" s="5"/>
      <c r="C38" s="404" t="s">
        <v>97</v>
      </c>
      <c r="D38" s="5"/>
      <c r="E38" s="5"/>
      <c r="F38" s="5"/>
      <c r="G38" s="5"/>
      <c r="H38" s="6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0" customHeight="1">
      <c r="A39" s="152" t="s">
        <v>98</v>
      </c>
      <c r="B39" s="38"/>
      <c r="C39" s="153" t="s">
        <v>99</v>
      </c>
      <c r="D39" s="62"/>
      <c r="E39" s="62"/>
      <c r="F39" s="62"/>
      <c r="G39" s="62"/>
      <c r="H39" s="6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0" customHeight="1">
      <c r="A40" s="64" t="s">
        <v>191</v>
      </c>
      <c r="B40" s="85"/>
      <c r="C40" s="64" t="s">
        <v>101</v>
      </c>
      <c r="D40" s="65"/>
      <c r="E40" s="65"/>
      <c r="F40" s="65"/>
      <c r="G40" s="65"/>
      <c r="H40" s="67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0" customHeight="1">
      <c r="A41" s="436" t="s">
        <v>417</v>
      </c>
      <c r="B41" s="85"/>
      <c r="C41" s="70" t="s">
        <v>765</v>
      </c>
      <c r="D41" s="65"/>
      <c r="E41" s="65"/>
      <c r="F41" s="65"/>
      <c r="G41" s="65"/>
      <c r="H41" s="67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0" customHeight="1">
      <c r="A42" s="60" t="s">
        <v>376</v>
      </c>
      <c r="C42" s="70" t="s">
        <v>105</v>
      </c>
      <c r="D42" s="65"/>
      <c r="E42" s="65"/>
      <c r="F42" s="65"/>
      <c r="G42" s="65"/>
      <c r="H42" s="67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0" customHeight="1">
      <c r="A43" s="69" t="s">
        <v>104</v>
      </c>
      <c r="C43" s="437" t="s">
        <v>109</v>
      </c>
      <c r="D43" s="74"/>
      <c r="E43" s="74"/>
      <c r="F43" s="74"/>
      <c r="G43" s="74"/>
      <c r="H43" s="75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0" customHeight="1">
      <c r="A44" s="69" t="s">
        <v>106</v>
      </c>
      <c r="C44" s="70" t="s">
        <v>630</v>
      </c>
      <c r="D44" s="65"/>
      <c r="E44" s="65"/>
      <c r="F44" s="65"/>
      <c r="G44" s="65"/>
      <c r="H44" s="67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0" customHeight="1">
      <c r="A45" s="71" t="s">
        <v>766</v>
      </c>
      <c r="B45" s="23"/>
      <c r="C45" s="70"/>
      <c r="D45" s="65"/>
      <c r="E45" s="65"/>
      <c r="F45" s="65"/>
      <c r="G45" s="65"/>
      <c r="H45" s="67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0" customHeight="1">
      <c r="A46" s="438" t="s">
        <v>767</v>
      </c>
      <c r="B46" s="23"/>
      <c r="C46" s="70"/>
      <c r="D46" s="65"/>
      <c r="E46" s="65"/>
      <c r="F46" s="65"/>
      <c r="G46" s="65"/>
      <c r="H46" s="67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0" customHeight="1">
      <c r="A47" s="438" t="s">
        <v>768</v>
      </c>
      <c r="B47" s="23"/>
      <c r="C47" s="64"/>
      <c r="D47" s="65"/>
      <c r="E47" s="65"/>
      <c r="F47" s="65"/>
      <c r="G47" s="65"/>
      <c r="H47" s="67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0" customHeight="1">
      <c r="A48" s="71" t="s">
        <v>216</v>
      </c>
      <c r="B48" s="23"/>
      <c r="C48" s="71"/>
      <c r="D48" s="65"/>
      <c r="E48" s="65"/>
      <c r="F48" s="65"/>
      <c r="G48" s="65"/>
      <c r="H48" s="67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0" customHeight="1">
      <c r="A49" s="71" t="s">
        <v>769</v>
      </c>
      <c r="B49" s="23"/>
      <c r="C49" s="71"/>
      <c r="D49" s="65"/>
      <c r="E49" s="65"/>
      <c r="F49" s="65"/>
      <c r="G49" s="65"/>
      <c r="H49" s="67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0" customHeight="1">
      <c r="A50" s="71" t="s">
        <v>770</v>
      </c>
      <c r="B50" s="23"/>
      <c r="C50" s="71"/>
      <c r="D50" s="65"/>
      <c r="E50" s="65"/>
      <c r="F50" s="65"/>
      <c r="G50" s="65"/>
      <c r="H50" s="67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0" customHeight="1">
      <c r="A51" s="71" t="s">
        <v>771</v>
      </c>
      <c r="B51" s="23"/>
      <c r="C51" s="439" t="s">
        <v>384</v>
      </c>
      <c r="D51" s="440"/>
      <c r="E51" s="440"/>
      <c r="F51" s="440"/>
      <c r="G51" s="440"/>
      <c r="H51" s="441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0" customHeight="1">
      <c r="A52" s="71" t="s">
        <v>385</v>
      </c>
      <c r="B52" s="23"/>
      <c r="C52" s="81" t="s">
        <v>772</v>
      </c>
      <c r="D52" s="62"/>
      <c r="E52" s="62"/>
      <c r="F52" s="62" t="s">
        <v>705</v>
      </c>
      <c r="G52" s="62"/>
      <c r="H52" s="6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0" customHeight="1">
      <c r="A53" s="71" t="s">
        <v>388</v>
      </c>
      <c r="B53" s="23"/>
      <c r="C53" s="71"/>
      <c r="D53" s="65"/>
      <c r="E53" s="65"/>
      <c r="F53" s="65" t="s">
        <v>706</v>
      </c>
      <c r="G53" s="65"/>
      <c r="H53" s="67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0" customHeight="1">
      <c r="A54" s="71"/>
      <c r="B54" s="23"/>
      <c r="C54" s="575" t="s">
        <v>773</v>
      </c>
      <c r="D54" s="65"/>
      <c r="E54" s="65"/>
      <c r="F54" s="514" t="s">
        <v>774</v>
      </c>
      <c r="G54" s="65"/>
      <c r="H54" s="67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0" customHeight="1">
      <c r="A55" s="155"/>
      <c r="B55" s="87"/>
      <c r="C55" s="86"/>
      <c r="D55" s="101"/>
      <c r="E55" s="101"/>
      <c r="F55" s="101"/>
      <c r="G55" s="101"/>
      <c r="H55" s="157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0" customHeight="1">
      <c r="A56" s="443" t="s">
        <v>393</v>
      </c>
      <c r="B56" s="89"/>
      <c r="C56" s="89"/>
      <c r="D56" s="89"/>
      <c r="E56" s="89"/>
      <c r="F56" s="89"/>
      <c r="G56" s="89"/>
      <c r="H56" s="90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0" customHeight="1">
      <c r="A57" s="444"/>
      <c r="B57" s="445"/>
      <c r="C57" s="446" t="s">
        <v>775</v>
      </c>
      <c r="D57" s="447"/>
      <c r="E57" s="445"/>
      <c r="F57" s="445"/>
      <c r="G57" s="447"/>
      <c r="H57" s="448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0" customHeight="1">
      <c r="A58" s="449" t="s">
        <v>114</v>
      </c>
      <c r="B58" s="23" t="s">
        <v>115</v>
      </c>
      <c r="C58" s="85" t="s">
        <v>137</v>
      </c>
      <c r="D58" s="85"/>
      <c r="E58" s="106"/>
      <c r="F58" s="106"/>
      <c r="G58" s="106"/>
      <c r="H58" s="450"/>
      <c r="I58" s="24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0" customHeight="1">
      <c r="A59" s="451" t="s">
        <v>117</v>
      </c>
      <c r="B59" s="85" t="s">
        <v>224</v>
      </c>
      <c r="C59" s="85" t="s">
        <v>225</v>
      </c>
      <c r="D59" s="85"/>
      <c r="E59" s="106"/>
      <c r="F59" s="106"/>
      <c r="G59" s="106"/>
      <c r="H59" s="450"/>
      <c r="I59" s="24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0" customHeight="1">
      <c r="A60" s="451" t="s">
        <v>121</v>
      </c>
      <c r="B60" s="85" t="s">
        <v>776</v>
      </c>
      <c r="C60" s="85" t="s">
        <v>225</v>
      </c>
      <c r="D60" s="85"/>
      <c r="E60" s="106"/>
      <c r="F60" s="106"/>
      <c r="G60" s="106"/>
      <c r="H60" s="450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0" customHeight="1">
      <c r="A61" s="451" t="s">
        <v>194</v>
      </c>
      <c r="B61" s="85" t="s">
        <v>122</v>
      </c>
      <c r="C61" s="85" t="s">
        <v>119</v>
      </c>
      <c r="D61" s="85"/>
      <c r="E61" s="106"/>
      <c r="F61" s="106"/>
      <c r="G61" s="106"/>
      <c r="H61" s="450"/>
      <c r="I61" s="24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8.25" customHeight="1">
      <c r="A62" s="452"/>
      <c r="B62" s="161"/>
      <c r="C62" s="161"/>
      <c r="D62" s="161"/>
      <c r="E62" s="101"/>
      <c r="F62" s="101"/>
      <c r="G62" s="101"/>
      <c r="H62" s="157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0" customHeight="1">
      <c r="A63" s="453"/>
      <c r="B63" s="454"/>
      <c r="C63" s="455" t="s">
        <v>777</v>
      </c>
      <c r="D63" s="85"/>
      <c r="E63" s="106"/>
      <c r="F63" s="106"/>
      <c r="G63" s="106"/>
      <c r="H63" s="450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0" customHeight="1">
      <c r="A64" s="449" t="s">
        <v>114</v>
      </c>
      <c r="B64" s="23" t="s">
        <v>397</v>
      </c>
      <c r="C64" s="85" t="s">
        <v>137</v>
      </c>
      <c r="D64" s="85"/>
      <c r="E64" s="106"/>
      <c r="F64" s="106"/>
      <c r="G64" s="106"/>
      <c r="H64" s="450"/>
      <c r="I64" s="24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0" customHeight="1">
      <c r="A65" s="451" t="s">
        <v>117</v>
      </c>
      <c r="B65" s="85" t="s">
        <v>776</v>
      </c>
      <c r="C65" s="85" t="s">
        <v>225</v>
      </c>
      <c r="D65" s="85"/>
      <c r="E65" s="106"/>
      <c r="F65" s="106"/>
      <c r="G65" s="106"/>
      <c r="H65" s="450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0" customHeight="1">
      <c r="A66" s="451" t="s">
        <v>121</v>
      </c>
      <c r="B66" s="85" t="s">
        <v>118</v>
      </c>
      <c r="C66" s="85" t="s">
        <v>225</v>
      </c>
      <c r="D66" s="85"/>
      <c r="E66" s="106"/>
      <c r="F66" s="106"/>
      <c r="G66" s="106"/>
      <c r="H66" s="450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0" customHeight="1">
      <c r="A67" s="452" t="s">
        <v>194</v>
      </c>
      <c r="B67" s="161" t="s">
        <v>122</v>
      </c>
      <c r="C67" s="161" t="s">
        <v>119</v>
      </c>
      <c r="D67" s="161"/>
      <c r="E67" s="101"/>
      <c r="F67" s="101"/>
      <c r="G67" s="101"/>
      <c r="H67" s="157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>
      <c r="A68" s="404" t="s">
        <v>148</v>
      </c>
      <c r="B68" s="5"/>
      <c r="C68" s="5"/>
      <c r="D68" s="492" t="s">
        <v>149</v>
      </c>
      <c r="E68" s="5"/>
      <c r="F68" s="5"/>
      <c r="G68" s="5"/>
      <c r="H68" s="6"/>
      <c r="I68" s="24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ht="13.5" customHeight="1">
      <c r="A69" s="459" t="s">
        <v>778</v>
      </c>
      <c r="B69" s="460"/>
      <c r="C69" s="461"/>
      <c r="D69" s="118">
        <v>1.0</v>
      </c>
      <c r="E69" s="62" t="s">
        <v>151</v>
      </c>
      <c r="F69" s="62"/>
      <c r="G69" s="119"/>
      <c r="H69" s="120"/>
      <c r="I69" s="24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ht="13.5" customHeight="1">
      <c r="A70" s="116" t="s">
        <v>779</v>
      </c>
      <c r="B70" s="91"/>
      <c r="C70" s="165"/>
      <c r="D70" s="121">
        <v>0.5</v>
      </c>
      <c r="E70" s="122" t="s">
        <v>153</v>
      </c>
      <c r="F70" s="122"/>
      <c r="G70" s="123"/>
      <c r="H70" s="124"/>
      <c r="I70" s="24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3.5" customHeight="1">
      <c r="A71" s="125" t="s">
        <v>780</v>
      </c>
      <c r="B71" s="23"/>
      <c r="C71" s="72"/>
      <c r="D71" s="121">
        <v>0.0</v>
      </c>
      <c r="E71" s="122" t="s">
        <v>155</v>
      </c>
      <c r="F71" s="122"/>
      <c r="G71" s="123"/>
      <c r="H71" s="124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3.5" customHeight="1">
      <c r="A72" s="127" t="s">
        <v>781</v>
      </c>
      <c r="B72" s="23"/>
      <c r="C72" s="72"/>
      <c r="D72" s="129"/>
      <c r="E72" s="65"/>
      <c r="F72" s="65"/>
      <c r="G72" s="130"/>
      <c r="H72" s="131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3.5" customHeight="1">
      <c r="A73" s="127" t="s">
        <v>782</v>
      </c>
      <c r="B73" s="23"/>
      <c r="C73" s="72"/>
      <c r="D73" s="71"/>
      <c r="E73" s="23"/>
      <c r="F73" s="23"/>
      <c r="G73" s="23"/>
      <c r="H73" s="72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3.5" customHeight="1">
      <c r="A74" s="127" t="s">
        <v>783</v>
      </c>
      <c r="B74" s="23"/>
      <c r="C74" s="72"/>
      <c r="D74" s="23"/>
      <c r="E74" s="23"/>
      <c r="F74" s="23"/>
      <c r="G74" s="23"/>
      <c r="H74" s="72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3.5" customHeight="1">
      <c r="A75" s="127" t="s">
        <v>784</v>
      </c>
      <c r="B75" s="23"/>
      <c r="C75" s="72"/>
      <c r="D75" s="23"/>
      <c r="E75" s="23"/>
      <c r="F75" s="23"/>
      <c r="G75" s="23"/>
      <c r="H75" s="72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3.5" customHeight="1">
      <c r="A76" s="127" t="s">
        <v>785</v>
      </c>
      <c r="B76" s="23"/>
      <c r="C76" s="72"/>
      <c r="D76" s="23"/>
      <c r="E76" s="23"/>
      <c r="F76" s="23"/>
      <c r="G76" s="23"/>
      <c r="H76" s="72"/>
      <c r="I76" s="2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3.5" customHeight="1">
      <c r="A77" s="132" t="s">
        <v>161</v>
      </c>
      <c r="B77" s="134" t="s">
        <v>163</v>
      </c>
      <c r="C77" s="72"/>
      <c r="D77" s="23"/>
      <c r="E77" s="23"/>
      <c r="F77" s="23"/>
      <c r="G77" s="23"/>
      <c r="H77" s="72"/>
      <c r="I77" s="24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3.5" customHeight="1">
      <c r="A78" s="125" t="s">
        <v>786</v>
      </c>
      <c r="B78" s="23"/>
      <c r="C78" s="72"/>
      <c r="D78" s="23"/>
      <c r="E78" s="23"/>
      <c r="F78" s="23"/>
      <c r="G78" s="23"/>
      <c r="H78" s="72"/>
      <c r="I78" s="24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3.5" customHeight="1">
      <c r="A79" s="71" t="s">
        <v>164</v>
      </c>
      <c r="B79" s="135" t="s">
        <v>165</v>
      </c>
      <c r="C79" s="462"/>
      <c r="D79" s="23"/>
      <c r="E79" s="23"/>
      <c r="F79" s="23"/>
      <c r="G79" s="23"/>
      <c r="H79" s="72"/>
      <c r="I79" s="24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3.5" customHeight="1">
      <c r="A80" s="71" t="s">
        <v>166</v>
      </c>
      <c r="B80" s="135" t="s">
        <v>167</v>
      </c>
      <c r="C80" s="462"/>
      <c r="D80" s="23"/>
      <c r="E80" s="23"/>
      <c r="F80" s="23"/>
      <c r="G80" s="23"/>
      <c r="H80" s="72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71" t="s">
        <v>168</v>
      </c>
      <c r="B81" s="135" t="s">
        <v>169</v>
      </c>
      <c r="C81" s="462"/>
      <c r="D81" s="23"/>
      <c r="E81" s="23"/>
      <c r="F81" s="23"/>
      <c r="G81" s="23"/>
      <c r="H81" s="72"/>
      <c r="I81" s="2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71" t="s">
        <v>170</v>
      </c>
      <c r="B82" s="23" t="s">
        <v>171</v>
      </c>
      <c r="C82" s="72"/>
      <c r="D82" s="23"/>
      <c r="E82" s="23"/>
      <c r="F82" s="23"/>
      <c r="G82" s="23"/>
      <c r="H82" s="72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3.5" customHeight="1">
      <c r="A83" s="86" t="s">
        <v>172</v>
      </c>
      <c r="B83" s="87" t="s">
        <v>173</v>
      </c>
      <c r="C83" s="136"/>
      <c r="D83" s="87"/>
      <c r="E83" s="87"/>
      <c r="F83" s="87"/>
      <c r="G83" s="87"/>
      <c r="H83" s="136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3.5" customHeight="1">
      <c r="A84" s="456" t="s">
        <v>174</v>
      </c>
      <c r="B84" s="28"/>
      <c r="C84" s="28"/>
      <c r="D84" s="28"/>
      <c r="E84" s="28"/>
      <c r="F84" s="28"/>
      <c r="G84" s="28"/>
      <c r="H84" s="458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3.5" customHeight="1">
      <c r="A85" s="64" t="s">
        <v>175</v>
      </c>
      <c r="B85" s="65"/>
      <c r="C85" s="65"/>
      <c r="D85" s="65"/>
      <c r="E85" s="65"/>
      <c r="F85" s="65"/>
      <c r="G85" s="65"/>
      <c r="H85" s="67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3.5" customHeight="1">
      <c r="A86" s="64" t="s">
        <v>176</v>
      </c>
      <c r="B86" s="65"/>
      <c r="C86" s="65"/>
      <c r="D86" s="65"/>
      <c r="E86" s="65"/>
      <c r="F86" s="65"/>
      <c r="G86" s="65"/>
      <c r="H86" s="67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3.5" customHeight="1">
      <c r="A87" s="64" t="s">
        <v>177</v>
      </c>
      <c r="B87" s="65"/>
      <c r="C87" s="65"/>
      <c r="D87" s="65"/>
      <c r="E87" s="65"/>
      <c r="F87" s="65"/>
      <c r="G87" s="65"/>
      <c r="H87" s="67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3.5" customHeight="1">
      <c r="A88" s="64" t="s">
        <v>787</v>
      </c>
      <c r="B88" s="65"/>
      <c r="C88" s="65"/>
      <c r="D88" s="65"/>
      <c r="E88" s="65"/>
      <c r="F88" s="65"/>
      <c r="G88" s="65"/>
      <c r="H88" s="67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0" customHeight="1">
      <c r="A89" s="60" t="s">
        <v>179</v>
      </c>
      <c r="H89" s="61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3.5" customHeight="1">
      <c r="A90" s="137" t="s">
        <v>180</v>
      </c>
      <c r="H90" s="61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3.5" customHeight="1">
      <c r="A91" s="138" t="s">
        <v>181</v>
      </c>
      <c r="B91" s="65"/>
      <c r="C91" s="65"/>
      <c r="D91" s="65"/>
      <c r="E91" s="65"/>
      <c r="F91" s="65"/>
      <c r="G91" s="65"/>
      <c r="H91" s="67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3.5" customHeight="1">
      <c r="A92" s="64" t="s">
        <v>182</v>
      </c>
      <c r="B92" s="65"/>
      <c r="C92" s="65"/>
      <c r="D92" s="65"/>
      <c r="E92" s="65"/>
      <c r="F92" s="65"/>
      <c r="G92" s="65"/>
      <c r="H92" s="67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26.25" customHeight="1">
      <c r="A93" s="78" t="s">
        <v>788</v>
      </c>
      <c r="B93" s="45"/>
      <c r="C93" s="45"/>
      <c r="D93" s="45"/>
      <c r="E93" s="45"/>
      <c r="F93" s="45"/>
      <c r="G93" s="45"/>
      <c r="H93" s="46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3.5" customHeight="1">
      <c r="A271" s="23"/>
      <c r="B271" s="23"/>
      <c r="C271" s="23"/>
      <c r="D271" s="23"/>
      <c r="E271" s="23"/>
      <c r="F271" s="23"/>
      <c r="G271" s="23"/>
      <c r="H271" s="23"/>
      <c r="I271" s="24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3.5" customHeight="1">
      <c r="A272" s="23"/>
      <c r="B272" s="23"/>
      <c r="C272" s="23"/>
      <c r="D272" s="23"/>
      <c r="E272" s="23"/>
      <c r="F272" s="23"/>
      <c r="G272" s="23"/>
      <c r="H272" s="23"/>
      <c r="I272" s="24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3.5" customHeight="1">
      <c r="A273" s="23"/>
      <c r="B273" s="23"/>
      <c r="C273" s="23"/>
      <c r="D273" s="23"/>
      <c r="E273" s="23"/>
      <c r="F273" s="23"/>
      <c r="G273" s="23"/>
      <c r="H273" s="23"/>
      <c r="I273" s="24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3.5" customHeight="1">
      <c r="A274" s="23"/>
      <c r="B274" s="23"/>
      <c r="C274" s="23"/>
      <c r="D274" s="23"/>
      <c r="E274" s="23"/>
      <c r="F274" s="23"/>
      <c r="G274" s="23"/>
      <c r="H274" s="23"/>
      <c r="I274" s="24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3.5" customHeight="1">
      <c r="A275" s="23"/>
      <c r="B275" s="23"/>
      <c r="C275" s="23"/>
      <c r="D275" s="23"/>
      <c r="E275" s="23"/>
      <c r="F275" s="23"/>
      <c r="G275" s="23"/>
      <c r="H275" s="23"/>
      <c r="I275" s="24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3.5" customHeight="1">
      <c r="A276" s="23"/>
      <c r="B276" s="23"/>
      <c r="C276" s="23"/>
      <c r="D276" s="23"/>
      <c r="E276" s="23"/>
      <c r="F276" s="23"/>
      <c r="G276" s="23"/>
      <c r="H276" s="23"/>
      <c r="I276" s="24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3.5" customHeight="1">
      <c r="A277" s="23"/>
      <c r="B277" s="23"/>
      <c r="C277" s="23"/>
      <c r="D277" s="23"/>
      <c r="E277" s="23"/>
      <c r="F277" s="23"/>
      <c r="G277" s="23"/>
      <c r="H277" s="23"/>
      <c r="I277" s="24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3.5" customHeight="1">
      <c r="A278" s="23"/>
      <c r="B278" s="23"/>
      <c r="C278" s="23"/>
      <c r="D278" s="23"/>
      <c r="E278" s="23"/>
      <c r="F278" s="23"/>
      <c r="G278" s="23"/>
      <c r="H278" s="23"/>
      <c r="I278" s="24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3.5" customHeight="1">
      <c r="A279" s="23"/>
      <c r="B279" s="23"/>
      <c r="C279" s="23"/>
      <c r="D279" s="23"/>
      <c r="E279" s="23"/>
      <c r="F279" s="23"/>
      <c r="G279" s="23"/>
      <c r="H279" s="23"/>
      <c r="I279" s="24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3.5" customHeight="1">
      <c r="A280" s="23"/>
      <c r="B280" s="23"/>
      <c r="C280" s="23"/>
      <c r="D280" s="23"/>
      <c r="E280" s="23"/>
      <c r="F280" s="23"/>
      <c r="G280" s="23"/>
      <c r="H280" s="23"/>
      <c r="I280" s="24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3.5" customHeight="1">
      <c r="A281" s="23"/>
      <c r="B281" s="23"/>
      <c r="C281" s="23"/>
      <c r="D281" s="23"/>
      <c r="E281" s="23"/>
      <c r="F281" s="23"/>
      <c r="G281" s="23"/>
      <c r="H281" s="23"/>
      <c r="I281" s="24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3.5" customHeight="1">
      <c r="A282" s="23"/>
      <c r="B282" s="23"/>
      <c r="C282" s="23"/>
      <c r="D282" s="23"/>
      <c r="E282" s="23"/>
      <c r="F282" s="23"/>
      <c r="G282" s="23"/>
      <c r="H282" s="23"/>
      <c r="I282" s="24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3.5" customHeight="1">
      <c r="A283" s="23"/>
      <c r="B283" s="23"/>
      <c r="C283" s="23"/>
      <c r="D283" s="23"/>
      <c r="E283" s="23"/>
      <c r="F283" s="23"/>
      <c r="G283" s="23"/>
      <c r="H283" s="23"/>
      <c r="I283" s="24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3.5" customHeight="1">
      <c r="A284" s="23"/>
      <c r="B284" s="23"/>
      <c r="C284" s="23"/>
      <c r="D284" s="23"/>
      <c r="E284" s="23"/>
      <c r="F284" s="23"/>
      <c r="G284" s="23"/>
      <c r="H284" s="23"/>
      <c r="I284" s="24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3.5" customHeight="1">
      <c r="A285" s="23"/>
      <c r="B285" s="23"/>
      <c r="C285" s="23"/>
      <c r="D285" s="23"/>
      <c r="E285" s="23"/>
      <c r="F285" s="23"/>
      <c r="G285" s="23"/>
      <c r="H285" s="23"/>
      <c r="I285" s="24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3.5" customHeight="1">
      <c r="A286" s="23"/>
      <c r="B286" s="23"/>
      <c r="C286" s="23"/>
      <c r="D286" s="23"/>
      <c r="E286" s="23"/>
      <c r="F286" s="23"/>
      <c r="G286" s="23"/>
      <c r="H286" s="23"/>
      <c r="I286" s="24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3.5" customHeight="1">
      <c r="A287" s="23"/>
      <c r="B287" s="23"/>
      <c r="C287" s="23"/>
      <c r="D287" s="23"/>
      <c r="E287" s="23"/>
      <c r="F287" s="23"/>
      <c r="G287" s="23"/>
      <c r="H287" s="23"/>
      <c r="I287" s="24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3.5" customHeight="1">
      <c r="A288" s="23"/>
      <c r="B288" s="23"/>
      <c r="C288" s="23"/>
      <c r="D288" s="23"/>
      <c r="E288" s="23"/>
      <c r="F288" s="23"/>
      <c r="G288" s="23"/>
      <c r="H288" s="23"/>
      <c r="I288" s="24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3.5" customHeight="1">
      <c r="A289" s="23"/>
      <c r="B289" s="23"/>
      <c r="C289" s="23"/>
      <c r="D289" s="23"/>
      <c r="E289" s="23"/>
      <c r="F289" s="23"/>
      <c r="G289" s="23"/>
      <c r="H289" s="23"/>
      <c r="I289" s="24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3.5" customHeight="1">
      <c r="A290" s="23"/>
      <c r="B290" s="23"/>
      <c r="C290" s="23"/>
      <c r="D290" s="23"/>
      <c r="E290" s="23"/>
      <c r="F290" s="23"/>
      <c r="G290" s="23"/>
      <c r="H290" s="23"/>
      <c r="I290" s="24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3.5" customHeight="1">
      <c r="A291" s="23"/>
      <c r="B291" s="23"/>
      <c r="C291" s="23"/>
      <c r="D291" s="23"/>
      <c r="E291" s="23"/>
      <c r="F291" s="23"/>
      <c r="G291" s="23"/>
      <c r="H291" s="23"/>
      <c r="I291" s="24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3.5" customHeight="1">
      <c r="A292" s="23"/>
      <c r="B292" s="23"/>
      <c r="C292" s="23"/>
      <c r="D292" s="23"/>
      <c r="E292" s="23"/>
      <c r="F292" s="23"/>
      <c r="G292" s="23"/>
      <c r="H292" s="23"/>
      <c r="I292" s="24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3.5" customHeight="1">
      <c r="A293" s="23"/>
      <c r="B293" s="23"/>
      <c r="C293" s="23"/>
      <c r="D293" s="23"/>
      <c r="E293" s="23"/>
      <c r="F293" s="23"/>
      <c r="G293" s="23"/>
      <c r="H293" s="23"/>
      <c r="I293" s="24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D6:E7"/>
    <mergeCell ref="F6:G6"/>
    <mergeCell ref="F7:G7"/>
    <mergeCell ref="A2:C2"/>
    <mergeCell ref="A3:C3"/>
    <mergeCell ref="A4:A5"/>
    <mergeCell ref="B4:B5"/>
    <mergeCell ref="C4:C5"/>
    <mergeCell ref="D4:H4"/>
    <mergeCell ref="A6:A7"/>
    <mergeCell ref="H6:H7"/>
    <mergeCell ref="A35:A36"/>
    <mergeCell ref="A38:B38"/>
    <mergeCell ref="A39:B39"/>
    <mergeCell ref="A42:B42"/>
    <mergeCell ref="A43:B43"/>
    <mergeCell ref="A44:B44"/>
    <mergeCell ref="A68:C68"/>
    <mergeCell ref="C38:H38"/>
    <mergeCell ref="A56:H56"/>
    <mergeCell ref="D68:H68"/>
    <mergeCell ref="A84:H84"/>
    <mergeCell ref="A89:H89"/>
    <mergeCell ref="A90:H90"/>
    <mergeCell ref="A93:H93"/>
    <mergeCell ref="B6:B7"/>
    <mergeCell ref="C6:C7"/>
    <mergeCell ref="A15:A16"/>
    <mergeCell ref="A20:A21"/>
    <mergeCell ref="A25:A26"/>
    <mergeCell ref="A27:H27"/>
    <mergeCell ref="A37:H37"/>
  </mergeCells>
  <printOptions/>
  <pageMargins bottom="0.0" footer="0.0" header="0.0" left="0.31496062992125984" right="0.0" top="0.35433070866141736"/>
  <pageSetup scale="55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7.29"/>
    <col customWidth="1" min="3" max="3" width="26.71"/>
    <col customWidth="1" min="4" max="4" width="9.71"/>
    <col customWidth="1" min="5" max="5" width="9.86"/>
    <col customWidth="1" min="6" max="6" width="11.71"/>
    <col customWidth="1" min="7" max="7" width="12.29"/>
    <col customWidth="1" min="8" max="8" width="8.86"/>
    <col customWidth="1" min="9" max="9" width="11.71"/>
    <col customWidth="1" min="10" max="26" width="9.29"/>
  </cols>
  <sheetData>
    <row r="1" ht="13.5" customHeight="1">
      <c r="A1" s="23"/>
      <c r="B1" s="23"/>
      <c r="C1" s="23"/>
      <c r="D1" s="23"/>
      <c r="E1" s="23"/>
      <c r="F1" s="23"/>
      <c r="G1" s="23"/>
      <c r="H1" s="23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9.5" customHeight="1">
      <c r="A2" s="25" t="s">
        <v>789</v>
      </c>
      <c r="B2" s="26"/>
      <c r="C2" s="26"/>
      <c r="D2" s="463"/>
      <c r="E2" s="463"/>
      <c r="F2" s="391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9.5" customHeight="1">
      <c r="A3" s="27" t="s">
        <v>410</v>
      </c>
      <c r="B3" s="28"/>
      <c r="C3" s="28"/>
      <c r="D3" s="29" t="s">
        <v>72</v>
      </c>
      <c r="E3" s="589"/>
      <c r="F3" s="23"/>
      <c r="G3" s="590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6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32"/>
      <c r="B5" s="32"/>
      <c r="C5" s="32"/>
      <c r="D5" s="405" t="s">
        <v>76</v>
      </c>
      <c r="E5" s="405" t="s">
        <v>77</v>
      </c>
      <c r="F5" s="405" t="s">
        <v>78</v>
      </c>
      <c r="G5" s="405" t="s">
        <v>79</v>
      </c>
      <c r="H5" s="405" t="s">
        <v>80</v>
      </c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6.5" customHeight="1">
      <c r="A6" s="140"/>
      <c r="B6" s="406"/>
      <c r="C6" s="141"/>
      <c r="D6" s="40" t="s">
        <v>82</v>
      </c>
      <c r="E6" s="39"/>
      <c r="F6" s="41" t="s">
        <v>83</v>
      </c>
      <c r="G6" s="26"/>
      <c r="H6" s="142" t="s">
        <v>186</v>
      </c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6.5" customHeight="1">
      <c r="A7" s="108"/>
      <c r="C7" s="46"/>
      <c r="D7" s="47"/>
      <c r="E7" s="46"/>
      <c r="F7" s="48" t="s">
        <v>86</v>
      </c>
      <c r="G7" s="26"/>
      <c r="H7" s="32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6.5" customHeight="1">
      <c r="A8" s="407" t="s">
        <v>790</v>
      </c>
      <c r="B8" s="408"/>
      <c r="C8" s="418"/>
      <c r="D8" s="52"/>
      <c r="E8" s="53"/>
      <c r="F8" s="53"/>
      <c r="G8" s="53"/>
      <c r="H8" s="53"/>
      <c r="I8" s="55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6.5" customHeight="1">
      <c r="A9" s="423" t="s">
        <v>355</v>
      </c>
      <c r="B9" s="412" t="s">
        <v>413</v>
      </c>
      <c r="C9" s="413" t="s">
        <v>754</v>
      </c>
      <c r="D9" s="52">
        <v>4150.0</v>
      </c>
      <c r="E9" s="53">
        <f t="shared" ref="E9:E11" si="1">SUM(D9)</f>
        <v>4150</v>
      </c>
      <c r="F9" s="53">
        <f t="shared" ref="F9:F11" si="2">D9-(D9*0.2)</f>
        <v>3320</v>
      </c>
      <c r="G9" s="53">
        <f t="shared" ref="G9:G11" si="3">E9-(E9*0.3)</f>
        <v>2905</v>
      </c>
      <c r="H9" s="53">
        <v>500.0</v>
      </c>
      <c r="I9" s="5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6.5" customHeight="1">
      <c r="A10" s="424" t="s">
        <v>755</v>
      </c>
      <c r="B10" s="412" t="s">
        <v>756</v>
      </c>
      <c r="C10" s="413" t="s">
        <v>363</v>
      </c>
      <c r="D10" s="52">
        <v>4450.0</v>
      </c>
      <c r="E10" s="53">
        <f t="shared" si="1"/>
        <v>4450</v>
      </c>
      <c r="F10" s="53">
        <f t="shared" si="2"/>
        <v>3560</v>
      </c>
      <c r="G10" s="53">
        <f t="shared" si="3"/>
        <v>3115</v>
      </c>
      <c r="H10" s="53">
        <v>500.0</v>
      </c>
      <c r="I10" s="5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6.5" customHeight="1">
      <c r="A11" s="424"/>
      <c r="B11" s="496"/>
      <c r="C11" s="418" t="s">
        <v>364</v>
      </c>
      <c r="D11" s="52">
        <v>5400.0</v>
      </c>
      <c r="E11" s="53">
        <f t="shared" si="1"/>
        <v>5400</v>
      </c>
      <c r="F11" s="53">
        <f t="shared" si="2"/>
        <v>4320</v>
      </c>
      <c r="G11" s="53">
        <f t="shared" si="3"/>
        <v>3780</v>
      </c>
      <c r="H11" s="53">
        <v>500.0</v>
      </c>
      <c r="I11" s="5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4.5" customHeight="1">
      <c r="A12" s="581"/>
      <c r="B12" s="582"/>
      <c r="C12" s="582"/>
      <c r="D12" s="582"/>
      <c r="E12" s="581"/>
      <c r="F12" s="582"/>
      <c r="G12" s="582"/>
      <c r="H12" s="582"/>
      <c r="I12" s="5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6.5" customHeight="1">
      <c r="A13" s="407" t="s">
        <v>791</v>
      </c>
      <c r="B13" s="408"/>
      <c r="C13" s="418"/>
      <c r="D13" s="52"/>
      <c r="E13" s="53"/>
      <c r="F13" s="53"/>
      <c r="G13" s="53"/>
      <c r="H13" s="53"/>
      <c r="I13" s="5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6.5" customHeight="1">
      <c r="A14" s="592" t="s">
        <v>355</v>
      </c>
      <c r="B14" s="412" t="s">
        <v>413</v>
      </c>
      <c r="C14" s="413" t="s">
        <v>754</v>
      </c>
      <c r="D14" s="52">
        <v>4650.0</v>
      </c>
      <c r="E14" s="53">
        <f t="shared" ref="E14:E16" si="4">SUM(D14)</f>
        <v>4650</v>
      </c>
      <c r="F14" s="53">
        <f t="shared" ref="F14:F16" si="5">D14-(D14*0.2)</f>
        <v>3720</v>
      </c>
      <c r="G14" s="53">
        <f t="shared" ref="G14:G16" si="6">E14-(E14*0.3)</f>
        <v>3255</v>
      </c>
      <c r="H14" s="53">
        <v>500.0</v>
      </c>
      <c r="I14" s="5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6.5" customHeight="1">
      <c r="A15" s="593" t="s">
        <v>758</v>
      </c>
      <c r="B15" s="412" t="s">
        <v>756</v>
      </c>
      <c r="C15" s="413" t="s">
        <v>363</v>
      </c>
      <c r="D15" s="52">
        <v>5280.0</v>
      </c>
      <c r="E15" s="53">
        <f t="shared" si="4"/>
        <v>5280</v>
      </c>
      <c r="F15" s="53">
        <f t="shared" si="5"/>
        <v>4224</v>
      </c>
      <c r="G15" s="53">
        <f t="shared" si="6"/>
        <v>3696</v>
      </c>
      <c r="H15" s="53">
        <v>500.0</v>
      </c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6.5" customHeight="1">
      <c r="A16" s="495"/>
      <c r="B16" s="496"/>
      <c r="C16" s="418" t="s">
        <v>364</v>
      </c>
      <c r="D16" s="52">
        <v>6350.0</v>
      </c>
      <c r="E16" s="53">
        <f t="shared" si="4"/>
        <v>6350</v>
      </c>
      <c r="F16" s="53">
        <f t="shared" si="5"/>
        <v>5080</v>
      </c>
      <c r="G16" s="53">
        <f t="shared" si="6"/>
        <v>4445</v>
      </c>
      <c r="H16" s="53">
        <v>500.0</v>
      </c>
      <c r="I16" s="5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4.5" customHeight="1">
      <c r="A17" s="581"/>
      <c r="B17" s="582"/>
      <c r="C17" s="582"/>
      <c r="D17" s="582"/>
      <c r="E17" s="581"/>
      <c r="F17" s="582"/>
      <c r="G17" s="582"/>
      <c r="H17" s="582"/>
      <c r="I17" s="5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6.5" customHeight="1">
      <c r="A18" s="407" t="s">
        <v>792</v>
      </c>
      <c r="B18" s="408"/>
      <c r="C18" s="418"/>
      <c r="D18" s="52"/>
      <c r="E18" s="53"/>
      <c r="F18" s="53"/>
      <c r="G18" s="53"/>
      <c r="H18" s="53"/>
      <c r="I18" s="5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6.5" customHeight="1">
      <c r="A19" s="522" t="s">
        <v>355</v>
      </c>
      <c r="B19" s="412" t="s">
        <v>413</v>
      </c>
      <c r="C19" s="413" t="s">
        <v>754</v>
      </c>
      <c r="D19" s="52">
        <v>4550.0</v>
      </c>
      <c r="E19" s="53">
        <f t="shared" ref="E19:E21" si="7">SUM(D19)</f>
        <v>4550</v>
      </c>
      <c r="F19" s="53">
        <f t="shared" ref="F19:F21" si="8">D19-(D19*0.2)</f>
        <v>3640</v>
      </c>
      <c r="G19" s="53">
        <f t="shared" ref="G19:G21" si="9">E19-(E19*0.3)</f>
        <v>3185</v>
      </c>
      <c r="H19" s="53">
        <v>500.0</v>
      </c>
      <c r="I19" s="5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6.5" customHeight="1">
      <c r="A20" s="566" t="s">
        <v>367</v>
      </c>
      <c r="B20" s="412" t="s">
        <v>756</v>
      </c>
      <c r="C20" s="413" t="s">
        <v>363</v>
      </c>
      <c r="D20" s="52">
        <v>4950.0</v>
      </c>
      <c r="E20" s="53">
        <f t="shared" si="7"/>
        <v>4950</v>
      </c>
      <c r="F20" s="53">
        <f t="shared" si="8"/>
        <v>3960</v>
      </c>
      <c r="G20" s="53">
        <f t="shared" si="9"/>
        <v>3465</v>
      </c>
      <c r="H20" s="53">
        <v>500.0</v>
      </c>
      <c r="I20" s="5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6.5" customHeight="1">
      <c r="A21" s="415"/>
      <c r="B21" s="496"/>
      <c r="C21" s="418" t="s">
        <v>364</v>
      </c>
      <c r="D21" s="52">
        <v>5950.0</v>
      </c>
      <c r="E21" s="53">
        <f t="shared" si="7"/>
        <v>5950</v>
      </c>
      <c r="F21" s="53">
        <f t="shared" si="8"/>
        <v>4760</v>
      </c>
      <c r="G21" s="53">
        <f t="shared" si="9"/>
        <v>4165</v>
      </c>
      <c r="H21" s="53">
        <v>500.0</v>
      </c>
      <c r="I21" s="5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4.5" customHeight="1">
      <c r="A22" s="581"/>
      <c r="B22" s="582"/>
      <c r="C22" s="582"/>
      <c r="D22" s="582"/>
      <c r="E22" s="581"/>
      <c r="F22" s="582"/>
      <c r="G22" s="582"/>
      <c r="H22" s="582"/>
      <c r="I22" s="5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6.5" customHeight="1">
      <c r="A23" s="407" t="s">
        <v>793</v>
      </c>
      <c r="B23" s="408"/>
      <c r="C23" s="418"/>
      <c r="D23" s="52"/>
      <c r="E23" s="53"/>
      <c r="F23" s="53"/>
      <c r="G23" s="53"/>
      <c r="H23" s="53"/>
      <c r="I23" s="5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6.5" customHeight="1">
      <c r="A24" s="594" t="s">
        <v>355</v>
      </c>
      <c r="B24" s="412" t="s">
        <v>413</v>
      </c>
      <c r="C24" s="413" t="s">
        <v>754</v>
      </c>
      <c r="D24" s="52">
        <v>5050.0</v>
      </c>
      <c r="E24" s="53">
        <f t="shared" ref="E24:E26" si="10">SUM(D24)</f>
        <v>5050</v>
      </c>
      <c r="F24" s="53">
        <f t="shared" ref="F24:F26" si="11">D24-(D24*0.2)</f>
        <v>4040</v>
      </c>
      <c r="G24" s="53">
        <f t="shared" ref="G24:G26" si="12">E24-(E24*0.3)</f>
        <v>3535</v>
      </c>
      <c r="H24" s="53">
        <v>500.0</v>
      </c>
      <c r="I24" s="5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6.5" customHeight="1">
      <c r="A25" s="595" t="s">
        <v>761</v>
      </c>
      <c r="B25" s="412" t="s">
        <v>756</v>
      </c>
      <c r="C25" s="413" t="s">
        <v>363</v>
      </c>
      <c r="D25" s="52">
        <v>5580.0</v>
      </c>
      <c r="E25" s="53">
        <f t="shared" si="10"/>
        <v>5580</v>
      </c>
      <c r="F25" s="53">
        <f t="shared" si="11"/>
        <v>4464</v>
      </c>
      <c r="G25" s="53">
        <f t="shared" si="12"/>
        <v>3906</v>
      </c>
      <c r="H25" s="53">
        <v>500.0</v>
      </c>
      <c r="I25" s="5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6.5" customHeight="1">
      <c r="A26" s="415"/>
      <c r="B26" s="496"/>
      <c r="C26" s="418" t="s">
        <v>364</v>
      </c>
      <c r="D26" s="52">
        <v>6700.0</v>
      </c>
      <c r="E26" s="53">
        <f t="shared" si="10"/>
        <v>6700</v>
      </c>
      <c r="F26" s="53">
        <f t="shared" si="11"/>
        <v>5360</v>
      </c>
      <c r="G26" s="53">
        <f t="shared" si="12"/>
        <v>4690</v>
      </c>
      <c r="H26" s="53">
        <v>500.0</v>
      </c>
      <c r="I26" s="55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0.5" customHeight="1">
      <c r="A27" s="425"/>
      <c r="B27" s="601"/>
      <c r="C27" s="601"/>
      <c r="D27" s="601"/>
      <c r="E27" s="601"/>
      <c r="F27" s="601"/>
      <c r="G27" s="601"/>
      <c r="H27" s="602"/>
      <c r="I27" s="55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6.5" customHeight="1">
      <c r="A28" s="407" t="s">
        <v>794</v>
      </c>
      <c r="B28" s="408"/>
      <c r="C28" s="418"/>
      <c r="D28" s="52"/>
      <c r="E28" s="53"/>
      <c r="F28" s="53"/>
      <c r="G28" s="53"/>
      <c r="H28" s="53"/>
      <c r="I28" s="55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6.5" customHeight="1">
      <c r="A29" s="423" t="s">
        <v>355</v>
      </c>
      <c r="B29" s="412" t="s">
        <v>356</v>
      </c>
      <c r="C29" s="413" t="s">
        <v>754</v>
      </c>
      <c r="D29" s="52">
        <v>4780.0</v>
      </c>
      <c r="E29" s="53">
        <f t="shared" ref="E29:E31" si="13">SUM(D29)</f>
        <v>4780</v>
      </c>
      <c r="F29" s="53">
        <f t="shared" ref="F29:F31" si="14">D29-(D29*0.2)</f>
        <v>3824</v>
      </c>
      <c r="G29" s="53">
        <f t="shared" ref="G29:G31" si="15">E29-(E29*0.3)</f>
        <v>3346</v>
      </c>
      <c r="H29" s="53">
        <v>500.0</v>
      </c>
      <c r="I29" s="55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6.5" customHeight="1">
      <c r="A30" s="424" t="s">
        <v>755</v>
      </c>
      <c r="B30" s="412" t="s">
        <v>763</v>
      </c>
      <c r="C30" s="413" t="s">
        <v>363</v>
      </c>
      <c r="D30" s="52">
        <v>5250.0</v>
      </c>
      <c r="E30" s="53">
        <f t="shared" si="13"/>
        <v>5250</v>
      </c>
      <c r="F30" s="53">
        <f t="shared" si="14"/>
        <v>4200</v>
      </c>
      <c r="G30" s="53">
        <f t="shared" si="15"/>
        <v>3675</v>
      </c>
      <c r="H30" s="53">
        <v>500.0</v>
      </c>
      <c r="I30" s="55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6.5" customHeight="1">
      <c r="A31" s="424"/>
      <c r="B31" s="471"/>
      <c r="C31" s="418" t="s">
        <v>364</v>
      </c>
      <c r="D31" s="52">
        <v>6300.0</v>
      </c>
      <c r="E31" s="53">
        <f t="shared" si="13"/>
        <v>6300</v>
      </c>
      <c r="F31" s="53">
        <f t="shared" si="14"/>
        <v>5040</v>
      </c>
      <c r="G31" s="53">
        <f t="shared" si="15"/>
        <v>4410</v>
      </c>
      <c r="H31" s="53">
        <v>500.0</v>
      </c>
      <c r="I31" s="55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4.5" customHeight="1">
      <c r="A32" s="581"/>
      <c r="B32" s="582"/>
      <c r="C32" s="582"/>
      <c r="D32" s="582"/>
      <c r="E32" s="581"/>
      <c r="F32" s="582"/>
      <c r="G32" s="582"/>
      <c r="H32" s="582"/>
      <c r="I32" s="55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6.5" customHeight="1">
      <c r="A33" s="407" t="s">
        <v>795</v>
      </c>
      <c r="B33" s="408"/>
      <c r="C33" s="418"/>
      <c r="D33" s="52"/>
      <c r="E33" s="53"/>
      <c r="F33" s="53"/>
      <c r="G33" s="53"/>
      <c r="H33" s="53"/>
      <c r="I33" s="55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6.5" customHeight="1">
      <c r="A34" s="592" t="s">
        <v>355</v>
      </c>
      <c r="B34" s="412" t="s">
        <v>356</v>
      </c>
      <c r="C34" s="413" t="s">
        <v>754</v>
      </c>
      <c r="D34" s="52">
        <v>5750.0</v>
      </c>
      <c r="E34" s="53">
        <f t="shared" ref="E34:E36" si="16">SUM(D34)</f>
        <v>5750</v>
      </c>
      <c r="F34" s="53">
        <f t="shared" ref="F34:F36" si="17">D34-(D34*0.2)</f>
        <v>4600</v>
      </c>
      <c r="G34" s="53">
        <f t="shared" ref="G34:G36" si="18">E34-(E34*0.3)</f>
        <v>4025</v>
      </c>
      <c r="H34" s="53">
        <v>500.0</v>
      </c>
      <c r="I34" s="55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6.5" customHeight="1">
      <c r="A35" s="593" t="s">
        <v>758</v>
      </c>
      <c r="B35" s="412" t="s">
        <v>763</v>
      </c>
      <c r="C35" s="413" t="s">
        <v>363</v>
      </c>
      <c r="D35" s="52">
        <v>6780.0</v>
      </c>
      <c r="E35" s="53">
        <f t="shared" si="16"/>
        <v>6780</v>
      </c>
      <c r="F35" s="53">
        <f t="shared" si="17"/>
        <v>5424</v>
      </c>
      <c r="G35" s="53">
        <f t="shared" si="18"/>
        <v>4746</v>
      </c>
      <c r="H35" s="53">
        <v>500.0</v>
      </c>
      <c r="I35" s="55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6.5" customHeight="1">
      <c r="A36" s="495"/>
      <c r="B36" s="471"/>
      <c r="C36" s="418" t="s">
        <v>364</v>
      </c>
      <c r="D36" s="52">
        <v>8150.0</v>
      </c>
      <c r="E36" s="53">
        <f t="shared" si="16"/>
        <v>8150</v>
      </c>
      <c r="F36" s="53">
        <f t="shared" si="17"/>
        <v>6520</v>
      </c>
      <c r="G36" s="53">
        <f t="shared" si="18"/>
        <v>5705</v>
      </c>
      <c r="H36" s="53">
        <v>500.0</v>
      </c>
      <c r="I36" s="55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4.5" customHeight="1">
      <c r="A37" s="581"/>
      <c r="B37" s="582"/>
      <c r="C37" s="582"/>
      <c r="D37" s="582"/>
      <c r="E37" s="581"/>
      <c r="F37" s="582"/>
      <c r="G37" s="582"/>
      <c r="H37" s="582"/>
      <c r="I37" s="55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6.5" customHeight="1">
      <c r="A38" s="407" t="s">
        <v>796</v>
      </c>
      <c r="B38" s="408"/>
      <c r="C38" s="418"/>
      <c r="D38" s="52"/>
      <c r="E38" s="53"/>
      <c r="F38" s="53"/>
      <c r="G38" s="53"/>
      <c r="H38" s="53"/>
      <c r="I38" s="55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6.5" customHeight="1">
      <c r="A39" s="522" t="s">
        <v>355</v>
      </c>
      <c r="B39" s="412" t="s">
        <v>356</v>
      </c>
      <c r="C39" s="413" t="s">
        <v>754</v>
      </c>
      <c r="D39" s="52">
        <v>5480.0</v>
      </c>
      <c r="E39" s="53">
        <f t="shared" ref="E39:E41" si="19">SUM(D39)</f>
        <v>5480</v>
      </c>
      <c r="F39" s="53">
        <f t="shared" ref="F39:F41" si="20">D39-(D39*0.2)</f>
        <v>4384</v>
      </c>
      <c r="G39" s="53">
        <f t="shared" ref="G39:G41" si="21">E39-(E39*0.3)</f>
        <v>3836</v>
      </c>
      <c r="H39" s="53">
        <v>500.0</v>
      </c>
      <c r="I39" s="55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6.5" customHeight="1">
      <c r="A40" s="566" t="s">
        <v>367</v>
      </c>
      <c r="B40" s="412" t="s">
        <v>763</v>
      </c>
      <c r="C40" s="413" t="s">
        <v>363</v>
      </c>
      <c r="D40" s="52">
        <v>6050.0</v>
      </c>
      <c r="E40" s="53">
        <f t="shared" si="19"/>
        <v>6050</v>
      </c>
      <c r="F40" s="53">
        <f t="shared" si="20"/>
        <v>4840</v>
      </c>
      <c r="G40" s="53">
        <f t="shared" si="21"/>
        <v>4235</v>
      </c>
      <c r="H40" s="53">
        <v>500.0</v>
      </c>
      <c r="I40" s="55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6.5" customHeight="1">
      <c r="A41" s="415"/>
      <c r="B41" s="471"/>
      <c r="C41" s="418" t="s">
        <v>364</v>
      </c>
      <c r="D41" s="52">
        <v>7280.0</v>
      </c>
      <c r="E41" s="53">
        <f t="shared" si="19"/>
        <v>7280</v>
      </c>
      <c r="F41" s="53">
        <f t="shared" si="20"/>
        <v>5824</v>
      </c>
      <c r="G41" s="53">
        <f t="shared" si="21"/>
        <v>5096</v>
      </c>
      <c r="H41" s="53">
        <v>500.0</v>
      </c>
      <c r="I41" s="55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4.5" customHeight="1">
      <c r="A42" s="581"/>
      <c r="B42" s="582"/>
      <c r="C42" s="582"/>
      <c r="D42" s="582"/>
      <c r="E42" s="581"/>
      <c r="F42" s="582"/>
      <c r="G42" s="582"/>
      <c r="H42" s="582"/>
      <c r="I42" s="55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6.5" customHeight="1">
      <c r="A43" s="407" t="s">
        <v>797</v>
      </c>
      <c r="B43" s="408"/>
      <c r="C43" s="418"/>
      <c r="D43" s="52"/>
      <c r="E43" s="53"/>
      <c r="F43" s="53"/>
      <c r="G43" s="53"/>
      <c r="H43" s="53"/>
      <c r="I43" s="55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6.5" customHeight="1">
      <c r="A44" s="594" t="s">
        <v>355</v>
      </c>
      <c r="B44" s="412" t="s">
        <v>356</v>
      </c>
      <c r="C44" s="413" t="s">
        <v>754</v>
      </c>
      <c r="D44" s="52">
        <v>6500.0</v>
      </c>
      <c r="E44" s="53">
        <f t="shared" ref="E44:E46" si="22">SUM(D44)</f>
        <v>6500</v>
      </c>
      <c r="F44" s="53">
        <f t="shared" ref="F44:F46" si="23">D44-(D44*0.2)</f>
        <v>5200</v>
      </c>
      <c r="G44" s="53">
        <f t="shared" ref="G44:G46" si="24">E44-(E44*0.3)</f>
        <v>4550</v>
      </c>
      <c r="H44" s="53">
        <v>500.0</v>
      </c>
      <c r="I44" s="55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6.5" customHeight="1">
      <c r="A45" s="595" t="s">
        <v>761</v>
      </c>
      <c r="B45" s="412" t="s">
        <v>763</v>
      </c>
      <c r="C45" s="413" t="s">
        <v>363</v>
      </c>
      <c r="D45" s="52">
        <v>7380.0</v>
      </c>
      <c r="E45" s="53">
        <f t="shared" si="22"/>
        <v>7380</v>
      </c>
      <c r="F45" s="53">
        <f t="shared" si="23"/>
        <v>5904</v>
      </c>
      <c r="G45" s="53">
        <f t="shared" si="24"/>
        <v>5166</v>
      </c>
      <c r="H45" s="53">
        <v>500.0</v>
      </c>
      <c r="I45" s="55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6.5" customHeight="1">
      <c r="A46" s="415"/>
      <c r="B46" s="471"/>
      <c r="C46" s="418" t="s">
        <v>364</v>
      </c>
      <c r="D46" s="52">
        <v>8880.0</v>
      </c>
      <c r="E46" s="53">
        <f t="shared" si="22"/>
        <v>8880</v>
      </c>
      <c r="F46" s="53">
        <f t="shared" si="23"/>
        <v>7104</v>
      </c>
      <c r="G46" s="53">
        <f t="shared" si="24"/>
        <v>6216</v>
      </c>
      <c r="H46" s="53">
        <v>500.0</v>
      </c>
      <c r="I46" s="55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24.0" customHeight="1">
      <c r="A47" s="484" t="s">
        <v>373</v>
      </c>
      <c r="B47" s="485"/>
      <c r="C47" s="485"/>
      <c r="D47" s="485"/>
      <c r="E47" s="485"/>
      <c r="F47" s="485"/>
      <c r="G47" s="485"/>
      <c r="H47" s="486"/>
      <c r="I47" s="487"/>
      <c r="J47" s="24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6.5" customHeight="1">
      <c r="A48" s="404" t="s">
        <v>96</v>
      </c>
      <c r="B48" s="5"/>
      <c r="C48" s="404" t="s">
        <v>97</v>
      </c>
      <c r="D48" s="5"/>
      <c r="E48" s="5"/>
      <c r="F48" s="5"/>
      <c r="G48" s="5"/>
      <c r="H48" s="6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0" customHeight="1">
      <c r="A49" s="152" t="s">
        <v>98</v>
      </c>
      <c r="B49" s="38"/>
      <c r="C49" s="153" t="s">
        <v>99</v>
      </c>
      <c r="D49" s="62"/>
      <c r="E49" s="62"/>
      <c r="F49" s="62"/>
      <c r="G49" s="62"/>
      <c r="H49" s="6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0" customHeight="1">
      <c r="A50" s="64" t="s">
        <v>191</v>
      </c>
      <c r="B50" s="85"/>
      <c r="C50" s="64" t="s">
        <v>101</v>
      </c>
      <c r="D50" s="65"/>
      <c r="E50" s="65"/>
      <c r="F50" s="65"/>
      <c r="G50" s="65"/>
      <c r="H50" s="67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0" customHeight="1">
      <c r="A51" s="436" t="s">
        <v>417</v>
      </c>
      <c r="B51" s="85"/>
      <c r="C51" s="70" t="s">
        <v>765</v>
      </c>
      <c r="D51" s="65"/>
      <c r="E51" s="65"/>
      <c r="F51" s="65"/>
      <c r="G51" s="65"/>
      <c r="H51" s="67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0" customHeight="1">
      <c r="A52" s="60" t="s">
        <v>376</v>
      </c>
      <c r="C52" s="70" t="s">
        <v>105</v>
      </c>
      <c r="D52" s="65"/>
      <c r="E52" s="65"/>
      <c r="F52" s="65"/>
      <c r="G52" s="65"/>
      <c r="H52" s="67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0" customHeight="1">
      <c r="A53" s="69" t="s">
        <v>104</v>
      </c>
      <c r="C53" s="437" t="s">
        <v>109</v>
      </c>
      <c r="D53" s="74"/>
      <c r="E53" s="74"/>
      <c r="F53" s="74"/>
      <c r="G53" s="74"/>
      <c r="H53" s="75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0" customHeight="1">
      <c r="A54" s="69" t="s">
        <v>106</v>
      </c>
      <c r="C54" s="70" t="s">
        <v>630</v>
      </c>
      <c r="D54" s="65"/>
      <c r="E54" s="65"/>
      <c r="F54" s="65"/>
      <c r="G54" s="65"/>
      <c r="H54" s="67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0" customHeight="1">
      <c r="A55" s="71" t="s">
        <v>798</v>
      </c>
      <c r="B55" s="23"/>
      <c r="C55" s="70"/>
      <c r="D55" s="65"/>
      <c r="E55" s="65"/>
      <c r="F55" s="65"/>
      <c r="G55" s="65"/>
      <c r="H55" s="67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0" customHeight="1">
      <c r="A56" s="438" t="s">
        <v>799</v>
      </c>
      <c r="B56" s="23"/>
      <c r="C56" s="70"/>
      <c r="D56" s="65"/>
      <c r="E56" s="65"/>
      <c r="F56" s="65"/>
      <c r="G56" s="65"/>
      <c r="H56" s="67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0" customHeight="1">
      <c r="A57" s="71" t="s">
        <v>216</v>
      </c>
      <c r="B57" s="23"/>
      <c r="C57" s="71"/>
      <c r="D57" s="65"/>
      <c r="E57" s="65"/>
      <c r="F57" s="65"/>
      <c r="G57" s="65"/>
      <c r="H57" s="67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0" customHeight="1">
      <c r="A58" s="71" t="s">
        <v>800</v>
      </c>
      <c r="B58" s="23"/>
      <c r="C58" s="71"/>
      <c r="D58" s="65"/>
      <c r="E58" s="65"/>
      <c r="F58" s="65"/>
      <c r="G58" s="65"/>
      <c r="H58" s="67"/>
      <c r="I58" s="24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0" customHeight="1">
      <c r="A59" s="71" t="s">
        <v>801</v>
      </c>
      <c r="B59" s="23"/>
      <c r="C59" s="71"/>
      <c r="D59" s="65"/>
      <c r="E59" s="65"/>
      <c r="F59" s="65"/>
      <c r="G59" s="65"/>
      <c r="H59" s="67"/>
      <c r="I59" s="24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0" customHeight="1">
      <c r="A60" s="71" t="s">
        <v>802</v>
      </c>
      <c r="B60" s="23"/>
      <c r="C60" s="530" t="s">
        <v>384</v>
      </c>
      <c r="D60" s="531"/>
      <c r="E60" s="531"/>
      <c r="F60" s="531"/>
      <c r="G60" s="531"/>
      <c r="H60" s="60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0" customHeight="1">
      <c r="A61" s="71" t="s">
        <v>385</v>
      </c>
      <c r="B61" s="23"/>
      <c r="C61" s="71" t="s">
        <v>803</v>
      </c>
      <c r="D61" s="65"/>
      <c r="E61" s="65"/>
      <c r="F61" s="65" t="s">
        <v>804</v>
      </c>
      <c r="G61" s="65"/>
      <c r="H61" s="67"/>
      <c r="I61" s="24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0" customHeight="1">
      <c r="A62" s="71" t="s">
        <v>388</v>
      </c>
      <c r="B62" s="23"/>
      <c r="C62" s="71"/>
      <c r="D62" s="65"/>
      <c r="E62" s="65"/>
      <c r="F62" s="65" t="s">
        <v>805</v>
      </c>
      <c r="G62" s="65"/>
      <c r="H62" s="67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0" customHeight="1">
      <c r="A63" s="71"/>
      <c r="B63" s="23"/>
      <c r="C63" s="575" t="s">
        <v>773</v>
      </c>
      <c r="D63" s="65"/>
      <c r="E63" s="65"/>
      <c r="F63" s="514" t="s">
        <v>774</v>
      </c>
      <c r="G63" s="65"/>
      <c r="H63" s="67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0" customHeight="1">
      <c r="A64" s="155"/>
      <c r="B64" s="87"/>
      <c r="C64" s="86"/>
      <c r="D64" s="101"/>
      <c r="E64" s="101"/>
      <c r="F64" s="101"/>
      <c r="G64" s="101"/>
      <c r="H64" s="157"/>
      <c r="I64" s="24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0" customHeight="1">
      <c r="A65" s="443" t="s">
        <v>393</v>
      </c>
      <c r="B65" s="89"/>
      <c r="C65" s="89"/>
      <c r="D65" s="89"/>
      <c r="E65" s="89"/>
      <c r="F65" s="89"/>
      <c r="G65" s="89"/>
      <c r="H65" s="90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0" customHeight="1">
      <c r="A66" s="444"/>
      <c r="B66" s="445"/>
      <c r="C66" s="446" t="s">
        <v>806</v>
      </c>
      <c r="D66" s="447"/>
      <c r="E66" s="445"/>
      <c r="F66" s="445"/>
      <c r="G66" s="447"/>
      <c r="H66" s="448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0" customHeight="1">
      <c r="A67" s="449" t="s">
        <v>114</v>
      </c>
      <c r="B67" s="23" t="s">
        <v>115</v>
      </c>
      <c r="C67" s="85" t="s">
        <v>137</v>
      </c>
      <c r="D67" s="85"/>
      <c r="E67" s="106"/>
      <c r="F67" s="106"/>
      <c r="G67" s="106"/>
      <c r="H67" s="450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0" customHeight="1">
      <c r="A68" s="451" t="s">
        <v>117</v>
      </c>
      <c r="B68" s="85" t="s">
        <v>224</v>
      </c>
      <c r="C68" s="85" t="s">
        <v>225</v>
      </c>
      <c r="D68" s="85"/>
      <c r="E68" s="106"/>
      <c r="F68" s="106"/>
      <c r="G68" s="106"/>
      <c r="H68" s="450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0" customHeight="1">
      <c r="A69" s="451" t="s">
        <v>121</v>
      </c>
      <c r="B69" s="85" t="s">
        <v>118</v>
      </c>
      <c r="C69" s="85" t="s">
        <v>227</v>
      </c>
      <c r="D69" s="85"/>
      <c r="E69" s="106"/>
      <c r="F69" s="106"/>
      <c r="G69" s="106"/>
      <c r="H69" s="450"/>
      <c r="I69" s="24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0" customHeight="1">
      <c r="A70" s="451" t="s">
        <v>194</v>
      </c>
      <c r="B70" s="85" t="s">
        <v>776</v>
      </c>
      <c r="C70" s="85" t="s">
        <v>225</v>
      </c>
      <c r="D70" s="85"/>
      <c r="E70" s="106"/>
      <c r="F70" s="106"/>
      <c r="G70" s="106"/>
      <c r="H70" s="450"/>
      <c r="I70" s="24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0" customHeight="1">
      <c r="A71" s="452" t="s">
        <v>253</v>
      </c>
      <c r="B71" s="161" t="s">
        <v>122</v>
      </c>
      <c r="C71" s="161" t="s">
        <v>119</v>
      </c>
      <c r="D71" s="161"/>
      <c r="E71" s="101"/>
      <c r="F71" s="101"/>
      <c r="G71" s="101"/>
      <c r="H71" s="157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4.25" customHeight="1">
      <c r="A72" s="453"/>
      <c r="B72" s="454"/>
      <c r="C72" s="455" t="s">
        <v>807</v>
      </c>
      <c r="D72" s="85"/>
      <c r="E72" s="106"/>
      <c r="F72" s="106"/>
      <c r="G72" s="106"/>
      <c r="H72" s="450"/>
      <c r="I72" s="2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0" customHeight="1">
      <c r="A73" s="449" t="s">
        <v>114</v>
      </c>
      <c r="B73" s="23" t="s">
        <v>115</v>
      </c>
      <c r="C73" s="85" t="s">
        <v>137</v>
      </c>
      <c r="D73" s="85"/>
      <c r="E73" s="106"/>
      <c r="F73" s="106"/>
      <c r="G73" s="106"/>
      <c r="H73" s="450"/>
      <c r="I73" s="2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0" customHeight="1">
      <c r="A74" s="451" t="s">
        <v>117</v>
      </c>
      <c r="B74" s="85" t="s">
        <v>224</v>
      </c>
      <c r="C74" s="85" t="s">
        <v>225</v>
      </c>
      <c r="D74" s="85"/>
      <c r="E74" s="106"/>
      <c r="F74" s="106"/>
      <c r="G74" s="106"/>
      <c r="H74" s="450"/>
      <c r="I74" s="2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0" customHeight="1">
      <c r="A75" s="451" t="s">
        <v>121</v>
      </c>
      <c r="B75" s="85" t="s">
        <v>776</v>
      </c>
      <c r="C75" s="85" t="s">
        <v>225</v>
      </c>
      <c r="D75" s="85"/>
      <c r="E75" s="106"/>
      <c r="F75" s="106"/>
      <c r="G75" s="106"/>
      <c r="H75" s="450"/>
      <c r="I75" s="2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0" customHeight="1">
      <c r="A76" s="451" t="s">
        <v>194</v>
      </c>
      <c r="B76" s="85" t="s">
        <v>118</v>
      </c>
      <c r="C76" s="85" t="s">
        <v>225</v>
      </c>
      <c r="D76" s="85"/>
      <c r="E76" s="106"/>
      <c r="F76" s="106"/>
      <c r="G76" s="106"/>
      <c r="H76" s="450"/>
      <c r="I76" s="2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0" customHeight="1">
      <c r="A77" s="452" t="s">
        <v>253</v>
      </c>
      <c r="B77" s="161" t="s">
        <v>122</v>
      </c>
      <c r="C77" s="161" t="s">
        <v>119</v>
      </c>
      <c r="D77" s="161"/>
      <c r="E77" s="101"/>
      <c r="F77" s="101"/>
      <c r="G77" s="101"/>
      <c r="H77" s="157"/>
      <c r="I77" s="24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2.75" customHeight="1">
      <c r="A78" s="404" t="s">
        <v>148</v>
      </c>
      <c r="B78" s="5"/>
      <c r="C78" s="5"/>
      <c r="D78" s="492" t="s">
        <v>149</v>
      </c>
      <c r="E78" s="5"/>
      <c r="F78" s="5"/>
      <c r="G78" s="5"/>
      <c r="H78" s="6"/>
      <c r="I78" s="24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13.5" customHeight="1">
      <c r="A79" s="459" t="s">
        <v>808</v>
      </c>
      <c r="B79" s="460"/>
      <c r="C79" s="461"/>
      <c r="D79" s="118">
        <v>1.0</v>
      </c>
      <c r="E79" s="62" t="s">
        <v>151</v>
      </c>
      <c r="F79" s="62"/>
      <c r="G79" s="119"/>
      <c r="H79" s="120"/>
      <c r="I79" s="24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ht="13.5" customHeight="1">
      <c r="A80" s="116" t="s">
        <v>809</v>
      </c>
      <c r="B80" s="91"/>
      <c r="C80" s="165"/>
      <c r="D80" s="121">
        <v>0.5</v>
      </c>
      <c r="E80" s="122" t="s">
        <v>153</v>
      </c>
      <c r="F80" s="122"/>
      <c r="G80" s="123"/>
      <c r="H80" s="124"/>
      <c r="I80" s="2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3.5" customHeight="1">
      <c r="A81" s="125" t="s">
        <v>810</v>
      </c>
      <c r="B81" s="23"/>
      <c r="C81" s="72"/>
      <c r="D81" s="121">
        <v>0.0</v>
      </c>
      <c r="E81" s="122" t="s">
        <v>155</v>
      </c>
      <c r="F81" s="122"/>
      <c r="G81" s="123"/>
      <c r="H81" s="124"/>
      <c r="I81" s="2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3.5" customHeight="1">
      <c r="A82" s="127" t="s">
        <v>811</v>
      </c>
      <c r="B82" s="23"/>
      <c r="C82" s="72"/>
      <c r="D82" s="129"/>
      <c r="E82" s="65"/>
      <c r="F82" s="65"/>
      <c r="G82" s="130"/>
      <c r="H82" s="131"/>
      <c r="I82" s="2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3.5" customHeight="1">
      <c r="A83" s="127" t="s">
        <v>812</v>
      </c>
      <c r="B83" s="23"/>
      <c r="C83" s="72"/>
      <c r="D83" s="71"/>
      <c r="E83" s="23"/>
      <c r="F83" s="23"/>
      <c r="G83" s="23"/>
      <c r="H83" s="72"/>
      <c r="I83" s="2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3.5" customHeight="1">
      <c r="A84" s="127" t="s">
        <v>813</v>
      </c>
      <c r="B84" s="23"/>
      <c r="C84" s="72"/>
      <c r="D84" s="23"/>
      <c r="E84" s="23"/>
      <c r="F84" s="23"/>
      <c r="G84" s="23"/>
      <c r="H84" s="72"/>
      <c r="I84" s="2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3.5" customHeight="1">
      <c r="A85" s="127" t="s">
        <v>814</v>
      </c>
      <c r="B85" s="23"/>
      <c r="C85" s="72"/>
      <c r="D85" s="23"/>
      <c r="E85" s="23"/>
      <c r="F85" s="23"/>
      <c r="G85" s="23"/>
      <c r="H85" s="72"/>
      <c r="I85" s="2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3.5" customHeight="1">
      <c r="A86" s="127" t="s">
        <v>815</v>
      </c>
      <c r="B86" s="23"/>
      <c r="C86" s="72"/>
      <c r="D86" s="23"/>
      <c r="E86" s="23"/>
      <c r="F86" s="23"/>
      <c r="G86" s="23"/>
      <c r="H86" s="72"/>
      <c r="I86" s="2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132" t="s">
        <v>161</v>
      </c>
      <c r="B87" s="134" t="s">
        <v>163</v>
      </c>
      <c r="C87" s="72"/>
      <c r="D87" s="23"/>
      <c r="E87" s="23"/>
      <c r="F87" s="23"/>
      <c r="G87" s="23"/>
      <c r="H87" s="72"/>
      <c r="I87" s="24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3.5" customHeight="1">
      <c r="A88" s="125" t="s">
        <v>816</v>
      </c>
      <c r="B88" s="23"/>
      <c r="C88" s="72"/>
      <c r="D88" s="23"/>
      <c r="E88" s="23"/>
      <c r="F88" s="23"/>
      <c r="G88" s="23"/>
      <c r="H88" s="72"/>
      <c r="I88" s="2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3.5" customHeight="1">
      <c r="A89" s="71" t="s">
        <v>164</v>
      </c>
      <c r="B89" s="135" t="s">
        <v>165</v>
      </c>
      <c r="C89" s="462"/>
      <c r="D89" s="23"/>
      <c r="E89" s="23"/>
      <c r="F89" s="23"/>
      <c r="G89" s="23"/>
      <c r="H89" s="72"/>
      <c r="I89" s="2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3.5" customHeight="1">
      <c r="A90" s="71" t="s">
        <v>166</v>
      </c>
      <c r="B90" s="135" t="s">
        <v>167</v>
      </c>
      <c r="C90" s="462"/>
      <c r="D90" s="23"/>
      <c r="E90" s="23"/>
      <c r="F90" s="23"/>
      <c r="G90" s="23"/>
      <c r="H90" s="72"/>
      <c r="I90" s="2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3.5" customHeight="1">
      <c r="A91" s="71" t="s">
        <v>168</v>
      </c>
      <c r="B91" s="135" t="s">
        <v>169</v>
      </c>
      <c r="C91" s="462"/>
      <c r="D91" s="23"/>
      <c r="E91" s="23"/>
      <c r="F91" s="23"/>
      <c r="G91" s="23"/>
      <c r="H91" s="72"/>
      <c r="I91" s="2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3.5" customHeight="1">
      <c r="A92" s="71" t="s">
        <v>170</v>
      </c>
      <c r="B92" s="23" t="s">
        <v>171</v>
      </c>
      <c r="C92" s="72"/>
      <c r="D92" s="23"/>
      <c r="E92" s="23"/>
      <c r="F92" s="23"/>
      <c r="G92" s="23"/>
      <c r="H92" s="72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3.5" customHeight="1">
      <c r="A93" s="86" t="s">
        <v>172</v>
      </c>
      <c r="B93" s="87" t="s">
        <v>173</v>
      </c>
      <c r="C93" s="136"/>
      <c r="D93" s="87"/>
      <c r="E93" s="87"/>
      <c r="F93" s="87"/>
      <c r="G93" s="87"/>
      <c r="H93" s="136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3.5" customHeight="1">
      <c r="A94" s="456" t="s">
        <v>174</v>
      </c>
      <c r="B94" s="28"/>
      <c r="C94" s="28"/>
      <c r="D94" s="28"/>
      <c r="E94" s="28"/>
      <c r="F94" s="28"/>
      <c r="G94" s="28"/>
      <c r="H94" s="458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3.5" customHeight="1">
      <c r="A95" s="64" t="s">
        <v>175</v>
      </c>
      <c r="B95" s="65"/>
      <c r="C95" s="65"/>
      <c r="D95" s="65"/>
      <c r="E95" s="65"/>
      <c r="F95" s="65"/>
      <c r="G95" s="65"/>
      <c r="H95" s="67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3.5" customHeight="1">
      <c r="A96" s="64" t="s">
        <v>176</v>
      </c>
      <c r="B96" s="65"/>
      <c r="C96" s="65"/>
      <c r="D96" s="65"/>
      <c r="E96" s="65"/>
      <c r="F96" s="65"/>
      <c r="G96" s="65"/>
      <c r="H96" s="67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3.5" customHeight="1">
      <c r="A97" s="64" t="s">
        <v>177</v>
      </c>
      <c r="B97" s="65"/>
      <c r="C97" s="65"/>
      <c r="D97" s="65"/>
      <c r="E97" s="65"/>
      <c r="F97" s="65"/>
      <c r="G97" s="65"/>
      <c r="H97" s="67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3.5" customHeight="1">
      <c r="A98" s="64" t="s">
        <v>817</v>
      </c>
      <c r="B98" s="65"/>
      <c r="C98" s="65"/>
      <c r="D98" s="65"/>
      <c r="E98" s="65"/>
      <c r="F98" s="65"/>
      <c r="G98" s="65"/>
      <c r="H98" s="67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0" customHeight="1">
      <c r="A99" s="60" t="s">
        <v>179</v>
      </c>
      <c r="H99" s="61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3.5" customHeight="1">
      <c r="A100" s="137" t="s">
        <v>180</v>
      </c>
      <c r="H100" s="61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3.5" customHeight="1">
      <c r="A101" s="138" t="s">
        <v>181</v>
      </c>
      <c r="B101" s="65"/>
      <c r="C101" s="65"/>
      <c r="D101" s="65"/>
      <c r="E101" s="65"/>
      <c r="F101" s="65"/>
      <c r="G101" s="65"/>
      <c r="H101" s="67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3.5" customHeight="1">
      <c r="A102" s="64" t="s">
        <v>182</v>
      </c>
      <c r="B102" s="65"/>
      <c r="C102" s="65"/>
      <c r="D102" s="65"/>
      <c r="E102" s="65"/>
      <c r="F102" s="65"/>
      <c r="G102" s="65"/>
      <c r="H102" s="67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26.25" customHeight="1">
      <c r="A103" s="78" t="s">
        <v>818</v>
      </c>
      <c r="B103" s="45"/>
      <c r="C103" s="45"/>
      <c r="D103" s="45"/>
      <c r="E103" s="45"/>
      <c r="F103" s="45"/>
      <c r="G103" s="45"/>
      <c r="H103" s="46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3.5" customHeight="1">
      <c r="A271" s="23"/>
      <c r="B271" s="23"/>
      <c r="C271" s="23"/>
      <c r="D271" s="23"/>
      <c r="E271" s="23"/>
      <c r="F271" s="23"/>
      <c r="G271" s="23"/>
      <c r="H271" s="23"/>
      <c r="I271" s="24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3.5" customHeight="1">
      <c r="A272" s="23"/>
      <c r="B272" s="23"/>
      <c r="C272" s="23"/>
      <c r="D272" s="23"/>
      <c r="E272" s="23"/>
      <c r="F272" s="23"/>
      <c r="G272" s="23"/>
      <c r="H272" s="23"/>
      <c r="I272" s="24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3.5" customHeight="1">
      <c r="A273" s="23"/>
      <c r="B273" s="23"/>
      <c r="C273" s="23"/>
      <c r="D273" s="23"/>
      <c r="E273" s="23"/>
      <c r="F273" s="23"/>
      <c r="G273" s="23"/>
      <c r="H273" s="23"/>
      <c r="I273" s="24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3.5" customHeight="1">
      <c r="A274" s="23"/>
      <c r="B274" s="23"/>
      <c r="C274" s="23"/>
      <c r="D274" s="23"/>
      <c r="E274" s="23"/>
      <c r="F274" s="23"/>
      <c r="G274" s="23"/>
      <c r="H274" s="23"/>
      <c r="I274" s="24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3.5" customHeight="1">
      <c r="A275" s="23"/>
      <c r="B275" s="23"/>
      <c r="C275" s="23"/>
      <c r="D275" s="23"/>
      <c r="E275" s="23"/>
      <c r="F275" s="23"/>
      <c r="G275" s="23"/>
      <c r="H275" s="23"/>
      <c r="I275" s="24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3.5" customHeight="1">
      <c r="A276" s="23"/>
      <c r="B276" s="23"/>
      <c r="C276" s="23"/>
      <c r="D276" s="23"/>
      <c r="E276" s="23"/>
      <c r="F276" s="23"/>
      <c r="G276" s="23"/>
      <c r="H276" s="23"/>
      <c r="I276" s="24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3.5" customHeight="1">
      <c r="A277" s="23"/>
      <c r="B277" s="23"/>
      <c r="C277" s="23"/>
      <c r="D277" s="23"/>
      <c r="E277" s="23"/>
      <c r="F277" s="23"/>
      <c r="G277" s="23"/>
      <c r="H277" s="23"/>
      <c r="I277" s="24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3.5" customHeight="1">
      <c r="A278" s="23"/>
      <c r="B278" s="23"/>
      <c r="C278" s="23"/>
      <c r="D278" s="23"/>
      <c r="E278" s="23"/>
      <c r="F278" s="23"/>
      <c r="G278" s="23"/>
      <c r="H278" s="23"/>
      <c r="I278" s="24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3.5" customHeight="1">
      <c r="A279" s="23"/>
      <c r="B279" s="23"/>
      <c r="C279" s="23"/>
      <c r="D279" s="23"/>
      <c r="E279" s="23"/>
      <c r="F279" s="23"/>
      <c r="G279" s="23"/>
      <c r="H279" s="23"/>
      <c r="I279" s="24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3.5" customHeight="1">
      <c r="A280" s="23"/>
      <c r="B280" s="23"/>
      <c r="C280" s="23"/>
      <c r="D280" s="23"/>
      <c r="E280" s="23"/>
      <c r="F280" s="23"/>
      <c r="G280" s="23"/>
      <c r="H280" s="23"/>
      <c r="I280" s="24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3.5" customHeight="1">
      <c r="A281" s="23"/>
      <c r="B281" s="23"/>
      <c r="C281" s="23"/>
      <c r="D281" s="23"/>
      <c r="E281" s="23"/>
      <c r="F281" s="23"/>
      <c r="G281" s="23"/>
      <c r="H281" s="23"/>
      <c r="I281" s="24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3.5" customHeight="1">
      <c r="A282" s="23"/>
      <c r="B282" s="23"/>
      <c r="C282" s="23"/>
      <c r="D282" s="23"/>
      <c r="E282" s="23"/>
      <c r="F282" s="23"/>
      <c r="G282" s="23"/>
      <c r="H282" s="23"/>
      <c r="I282" s="24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3.5" customHeight="1">
      <c r="A283" s="23"/>
      <c r="B283" s="23"/>
      <c r="C283" s="23"/>
      <c r="D283" s="23"/>
      <c r="E283" s="23"/>
      <c r="F283" s="23"/>
      <c r="G283" s="23"/>
      <c r="H283" s="23"/>
      <c r="I283" s="24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3.5" customHeight="1">
      <c r="A284" s="23"/>
      <c r="B284" s="23"/>
      <c r="C284" s="23"/>
      <c r="D284" s="23"/>
      <c r="E284" s="23"/>
      <c r="F284" s="23"/>
      <c r="G284" s="23"/>
      <c r="H284" s="23"/>
      <c r="I284" s="24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3.5" customHeight="1">
      <c r="A285" s="23"/>
      <c r="B285" s="23"/>
      <c r="C285" s="23"/>
      <c r="D285" s="23"/>
      <c r="E285" s="23"/>
      <c r="F285" s="23"/>
      <c r="G285" s="23"/>
      <c r="H285" s="23"/>
      <c r="I285" s="24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3.5" customHeight="1">
      <c r="A286" s="23"/>
      <c r="B286" s="23"/>
      <c r="C286" s="23"/>
      <c r="D286" s="23"/>
      <c r="E286" s="23"/>
      <c r="F286" s="23"/>
      <c r="G286" s="23"/>
      <c r="H286" s="23"/>
      <c r="I286" s="24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3.5" customHeight="1">
      <c r="A287" s="23"/>
      <c r="B287" s="23"/>
      <c r="C287" s="23"/>
      <c r="D287" s="23"/>
      <c r="E287" s="23"/>
      <c r="F287" s="23"/>
      <c r="G287" s="23"/>
      <c r="H287" s="23"/>
      <c r="I287" s="24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3.5" customHeight="1">
      <c r="A288" s="23"/>
      <c r="B288" s="23"/>
      <c r="C288" s="23"/>
      <c r="D288" s="23"/>
      <c r="E288" s="23"/>
      <c r="F288" s="23"/>
      <c r="G288" s="23"/>
      <c r="H288" s="23"/>
      <c r="I288" s="24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3.5" customHeight="1">
      <c r="A289" s="23"/>
      <c r="B289" s="23"/>
      <c r="C289" s="23"/>
      <c r="D289" s="23"/>
      <c r="E289" s="23"/>
      <c r="F289" s="23"/>
      <c r="G289" s="23"/>
      <c r="H289" s="23"/>
      <c r="I289" s="24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3.5" customHeight="1">
      <c r="A290" s="23"/>
      <c r="B290" s="23"/>
      <c r="C290" s="23"/>
      <c r="D290" s="23"/>
      <c r="E290" s="23"/>
      <c r="F290" s="23"/>
      <c r="G290" s="23"/>
      <c r="H290" s="23"/>
      <c r="I290" s="24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3.5" customHeight="1">
      <c r="A291" s="23"/>
      <c r="B291" s="23"/>
      <c r="C291" s="23"/>
      <c r="D291" s="23"/>
      <c r="E291" s="23"/>
      <c r="F291" s="23"/>
      <c r="G291" s="23"/>
      <c r="H291" s="23"/>
      <c r="I291" s="24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3.5" customHeight="1">
      <c r="A292" s="23"/>
      <c r="B292" s="23"/>
      <c r="C292" s="23"/>
      <c r="D292" s="23"/>
      <c r="E292" s="23"/>
      <c r="F292" s="23"/>
      <c r="G292" s="23"/>
      <c r="H292" s="23"/>
      <c r="I292" s="24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3.5" customHeight="1">
      <c r="A293" s="23"/>
      <c r="B293" s="23"/>
      <c r="C293" s="23"/>
      <c r="D293" s="23"/>
      <c r="E293" s="23"/>
      <c r="F293" s="23"/>
      <c r="G293" s="23"/>
      <c r="H293" s="23"/>
      <c r="I293" s="24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3.5" customHeight="1">
      <c r="A294" s="23"/>
      <c r="B294" s="23"/>
      <c r="C294" s="23"/>
      <c r="D294" s="23"/>
      <c r="E294" s="23"/>
      <c r="F294" s="23"/>
      <c r="G294" s="23"/>
      <c r="H294" s="23"/>
      <c r="I294" s="24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3.5" customHeight="1">
      <c r="A295" s="23"/>
      <c r="B295" s="23"/>
      <c r="C295" s="23"/>
      <c r="D295" s="23"/>
      <c r="E295" s="23"/>
      <c r="F295" s="23"/>
      <c r="G295" s="23"/>
      <c r="H295" s="23"/>
      <c r="I295" s="24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3.5" customHeight="1">
      <c r="A296" s="23"/>
      <c r="B296" s="23"/>
      <c r="C296" s="23"/>
      <c r="D296" s="23"/>
      <c r="E296" s="23"/>
      <c r="F296" s="23"/>
      <c r="G296" s="23"/>
      <c r="H296" s="23"/>
      <c r="I296" s="24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3.5" customHeight="1">
      <c r="A297" s="23"/>
      <c r="B297" s="23"/>
      <c r="C297" s="23"/>
      <c r="D297" s="23"/>
      <c r="E297" s="23"/>
      <c r="F297" s="23"/>
      <c r="G297" s="23"/>
      <c r="H297" s="23"/>
      <c r="I297" s="24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3.5" customHeight="1">
      <c r="A298" s="23"/>
      <c r="B298" s="23"/>
      <c r="C298" s="23"/>
      <c r="D298" s="23"/>
      <c r="E298" s="23"/>
      <c r="F298" s="23"/>
      <c r="G298" s="23"/>
      <c r="H298" s="23"/>
      <c r="I298" s="24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3.5" customHeight="1">
      <c r="A299" s="23"/>
      <c r="B299" s="23"/>
      <c r="C299" s="23"/>
      <c r="D299" s="23"/>
      <c r="E299" s="23"/>
      <c r="F299" s="23"/>
      <c r="G299" s="23"/>
      <c r="H299" s="23"/>
      <c r="I299" s="24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3.5" customHeight="1">
      <c r="A300" s="23"/>
      <c r="B300" s="23"/>
      <c r="C300" s="23"/>
      <c r="D300" s="23"/>
      <c r="E300" s="23"/>
      <c r="F300" s="23"/>
      <c r="G300" s="23"/>
      <c r="H300" s="23"/>
      <c r="I300" s="24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3.5" customHeight="1">
      <c r="A301" s="23"/>
      <c r="B301" s="23"/>
      <c r="C301" s="23"/>
      <c r="D301" s="23"/>
      <c r="E301" s="23"/>
      <c r="F301" s="23"/>
      <c r="G301" s="23"/>
      <c r="H301" s="23"/>
      <c r="I301" s="24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3.5" customHeight="1">
      <c r="A302" s="23"/>
      <c r="B302" s="23"/>
      <c r="C302" s="23"/>
      <c r="D302" s="23"/>
      <c r="E302" s="23"/>
      <c r="F302" s="23"/>
      <c r="G302" s="23"/>
      <c r="H302" s="23"/>
      <c r="I302" s="24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3.5" customHeight="1">
      <c r="A303" s="23"/>
      <c r="B303" s="23"/>
      <c r="C303" s="23"/>
      <c r="D303" s="23"/>
      <c r="E303" s="23"/>
      <c r="F303" s="23"/>
      <c r="G303" s="23"/>
      <c r="H303" s="23"/>
      <c r="I303" s="24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D6:E7"/>
    <mergeCell ref="F6:G6"/>
    <mergeCell ref="F7:G7"/>
    <mergeCell ref="A2:C2"/>
    <mergeCell ref="A3:C3"/>
    <mergeCell ref="A4:A5"/>
    <mergeCell ref="B4:B5"/>
    <mergeCell ref="C4:C5"/>
    <mergeCell ref="D4:H4"/>
    <mergeCell ref="A6:A7"/>
    <mergeCell ref="H6:H7"/>
    <mergeCell ref="B6:B7"/>
    <mergeCell ref="C6:C7"/>
    <mergeCell ref="A15:A16"/>
    <mergeCell ref="A20:A21"/>
    <mergeCell ref="A25:A26"/>
    <mergeCell ref="A35:A36"/>
    <mergeCell ref="A40:A41"/>
    <mergeCell ref="A54:B54"/>
    <mergeCell ref="A65:H65"/>
    <mergeCell ref="A78:C78"/>
    <mergeCell ref="D78:H78"/>
    <mergeCell ref="A94:H94"/>
    <mergeCell ref="A99:H99"/>
    <mergeCell ref="A100:H100"/>
    <mergeCell ref="A103:H103"/>
    <mergeCell ref="A45:A46"/>
    <mergeCell ref="A47:H47"/>
    <mergeCell ref="A48:B48"/>
    <mergeCell ref="C48:H48"/>
    <mergeCell ref="A49:B49"/>
    <mergeCell ref="A52:B52"/>
    <mergeCell ref="A53:B53"/>
  </mergeCells>
  <printOptions/>
  <pageMargins bottom="0.0" footer="0.0" header="0.0" left="0.31496062992125984" right="0.0" top="0.35433070866141736"/>
  <pageSetup scale="55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64.0"/>
    <col customWidth="1" min="3" max="3" width="23.71"/>
    <col customWidth="1" min="4" max="4" width="9.71"/>
    <col customWidth="1" min="5" max="5" width="8.71"/>
    <col customWidth="1" min="6" max="6" width="10.14"/>
    <col customWidth="1" min="7" max="7" width="9.86"/>
    <col customWidth="1" min="8" max="8" width="8.86"/>
    <col customWidth="1" min="9" max="25" width="9.29"/>
  </cols>
  <sheetData>
    <row r="1" ht="13.5" customHeight="1">
      <c r="A1" s="23"/>
      <c r="B1" s="23"/>
      <c r="C1" s="23"/>
      <c r="D1" s="23"/>
      <c r="E1" s="23"/>
      <c r="F1" s="23"/>
      <c r="G1" s="23"/>
      <c r="H1" s="24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76"/>
    </row>
    <row r="2" ht="19.5" customHeight="1">
      <c r="A2" s="25" t="s">
        <v>819</v>
      </c>
      <c r="B2" s="26"/>
      <c r="C2" s="26"/>
      <c r="D2" s="391"/>
      <c r="E2" s="402"/>
      <c r="F2" s="391"/>
      <c r="G2" s="23"/>
      <c r="H2" s="24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76"/>
    </row>
    <row r="3" ht="19.5" customHeight="1">
      <c r="A3" s="27" t="s">
        <v>820</v>
      </c>
      <c r="B3" s="28"/>
      <c r="C3" s="28"/>
      <c r="D3" s="29"/>
      <c r="E3" s="533" t="s">
        <v>821</v>
      </c>
      <c r="F3" s="23"/>
      <c r="G3" s="23"/>
      <c r="H3" s="24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76"/>
    </row>
    <row r="4" ht="13.5" customHeight="1">
      <c r="A4" s="403" t="s">
        <v>73</v>
      </c>
      <c r="B4" s="403" t="s">
        <v>74</v>
      </c>
      <c r="C4" s="403" t="s">
        <v>353</v>
      </c>
      <c r="D4" s="404" t="s">
        <v>185</v>
      </c>
      <c r="E4" s="5"/>
      <c r="F4" s="5"/>
      <c r="G4" s="5"/>
      <c r="H4" s="5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76"/>
    </row>
    <row r="5" ht="22.5" customHeight="1">
      <c r="A5" s="32"/>
      <c r="B5" s="32"/>
      <c r="C5" s="32"/>
      <c r="D5" s="405" t="s">
        <v>76</v>
      </c>
      <c r="E5" s="405" t="s">
        <v>77</v>
      </c>
      <c r="F5" s="405" t="s">
        <v>78</v>
      </c>
      <c r="G5" s="405" t="s">
        <v>79</v>
      </c>
      <c r="H5" s="405" t="s">
        <v>80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76"/>
    </row>
    <row r="6" ht="18.75" customHeight="1">
      <c r="A6" s="140"/>
      <c r="B6" s="406"/>
      <c r="C6" s="141"/>
      <c r="D6" s="40" t="s">
        <v>82</v>
      </c>
      <c r="E6" s="39"/>
      <c r="F6" s="604" t="s">
        <v>83</v>
      </c>
      <c r="G6" s="89"/>
      <c r="H6" s="142" t="s">
        <v>411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76"/>
    </row>
    <row r="7" ht="12.0" customHeight="1">
      <c r="A7" s="108"/>
      <c r="C7" s="61"/>
      <c r="D7" s="465"/>
      <c r="E7" s="61"/>
      <c r="F7" s="605" t="s">
        <v>86</v>
      </c>
      <c r="G7" s="28"/>
      <c r="H7" s="32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76"/>
    </row>
    <row r="8" ht="16.5" customHeight="1">
      <c r="A8" s="606" t="s">
        <v>822</v>
      </c>
      <c r="B8" s="408"/>
      <c r="C8" s="418" t="s">
        <v>823</v>
      </c>
      <c r="D8" s="53">
        <v>5400.0</v>
      </c>
      <c r="E8" s="53">
        <v>5400.0</v>
      </c>
      <c r="F8" s="53">
        <v>4320.0</v>
      </c>
      <c r="G8" s="53">
        <v>3780.0</v>
      </c>
      <c r="H8" s="53">
        <v>500.0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76"/>
      <c r="Z8" s="76"/>
    </row>
    <row r="9" ht="16.5" customHeight="1">
      <c r="A9" s="607" t="s">
        <v>355</v>
      </c>
      <c r="B9" s="412" t="s">
        <v>356</v>
      </c>
      <c r="C9" s="608" t="s">
        <v>824</v>
      </c>
      <c r="D9" s="53">
        <v>5600.0</v>
      </c>
      <c r="E9" s="53">
        <v>5600.0</v>
      </c>
      <c r="F9" s="53">
        <v>4480.0</v>
      </c>
      <c r="G9" s="53">
        <v>3920.0</v>
      </c>
      <c r="H9" s="53">
        <v>500.0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76"/>
      <c r="Z9" s="76"/>
    </row>
    <row r="10" ht="16.5" customHeight="1">
      <c r="A10" s="609" t="s">
        <v>825</v>
      </c>
      <c r="B10" s="412" t="s">
        <v>826</v>
      </c>
      <c r="C10" s="413" t="s">
        <v>564</v>
      </c>
      <c r="D10" s="53">
        <v>4880.0</v>
      </c>
      <c r="E10" s="53">
        <v>4880.0</v>
      </c>
      <c r="F10" s="53">
        <v>3904.0</v>
      </c>
      <c r="G10" s="53">
        <v>3416.0</v>
      </c>
      <c r="H10" s="53">
        <v>500.0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76"/>
      <c r="Z10" s="76"/>
    </row>
    <row r="11" ht="4.5" customHeight="1">
      <c r="A11" s="597"/>
      <c r="B11" s="598"/>
      <c r="C11" s="598"/>
      <c r="D11" s="610"/>
      <c r="E11" s="610"/>
      <c r="F11" s="610"/>
      <c r="G11" s="611"/>
      <c r="H11" s="612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76"/>
      <c r="Z11" s="76"/>
    </row>
    <row r="12" ht="16.5" customHeight="1">
      <c r="A12" s="606" t="s">
        <v>827</v>
      </c>
      <c r="B12" s="408"/>
      <c r="C12" s="418" t="s">
        <v>823</v>
      </c>
      <c r="D12" s="53">
        <v>5750.0</v>
      </c>
      <c r="E12" s="53">
        <v>5750.0</v>
      </c>
      <c r="F12" s="53">
        <v>4600.0</v>
      </c>
      <c r="G12" s="53">
        <v>4025.0</v>
      </c>
      <c r="H12" s="53">
        <v>500.0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76"/>
      <c r="Z12" s="76"/>
    </row>
    <row r="13" ht="16.5" customHeight="1">
      <c r="A13" s="607" t="s">
        <v>355</v>
      </c>
      <c r="B13" s="412" t="s">
        <v>356</v>
      </c>
      <c r="C13" s="608" t="s">
        <v>824</v>
      </c>
      <c r="D13" s="53">
        <v>5980.0</v>
      </c>
      <c r="E13" s="53">
        <v>5980.0</v>
      </c>
      <c r="F13" s="53">
        <v>4784.0</v>
      </c>
      <c r="G13" s="53">
        <v>4186.0</v>
      </c>
      <c r="H13" s="53">
        <v>500.0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76"/>
      <c r="Z13" s="76"/>
    </row>
    <row r="14" ht="16.5" customHeight="1">
      <c r="A14" s="613" t="s">
        <v>825</v>
      </c>
      <c r="B14" s="412" t="s">
        <v>828</v>
      </c>
      <c r="C14" s="413" t="s">
        <v>564</v>
      </c>
      <c r="D14" s="53">
        <v>5250.0</v>
      </c>
      <c r="E14" s="53">
        <v>5250.0</v>
      </c>
      <c r="F14" s="53">
        <v>4200.0</v>
      </c>
      <c r="G14" s="53">
        <v>3675.0</v>
      </c>
      <c r="H14" s="53">
        <v>500.0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76"/>
      <c r="Z14" s="76"/>
    </row>
    <row r="15" ht="3.75" customHeight="1">
      <c r="A15" s="597"/>
      <c r="B15" s="598"/>
      <c r="C15" s="598"/>
      <c r="D15" s="610"/>
      <c r="E15" s="610"/>
      <c r="F15" s="610"/>
      <c r="G15" s="611"/>
      <c r="H15" s="614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76"/>
      <c r="Z15" s="76"/>
    </row>
    <row r="16" ht="16.5" customHeight="1">
      <c r="A16" s="606" t="s">
        <v>829</v>
      </c>
      <c r="B16" s="408"/>
      <c r="C16" s="418" t="s">
        <v>823</v>
      </c>
      <c r="D16" s="53">
        <v>6450.0</v>
      </c>
      <c r="E16" s="53">
        <v>6450.0</v>
      </c>
      <c r="F16" s="53">
        <v>5160.0</v>
      </c>
      <c r="G16" s="53">
        <v>4515.0</v>
      </c>
      <c r="H16" s="53">
        <v>500.0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76"/>
      <c r="Z16" s="76"/>
    </row>
    <row r="17" ht="16.5" customHeight="1">
      <c r="A17" s="607" t="s">
        <v>355</v>
      </c>
      <c r="B17" s="412" t="s">
        <v>356</v>
      </c>
      <c r="C17" s="608" t="s">
        <v>824</v>
      </c>
      <c r="D17" s="53">
        <v>6700.0</v>
      </c>
      <c r="E17" s="53">
        <v>6700.0</v>
      </c>
      <c r="F17" s="53">
        <v>5360.0</v>
      </c>
      <c r="G17" s="53">
        <v>4690.0</v>
      </c>
      <c r="H17" s="53">
        <v>500.0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76"/>
      <c r="Z17" s="76"/>
    </row>
    <row r="18" ht="16.5" customHeight="1">
      <c r="A18" s="613" t="s">
        <v>825</v>
      </c>
      <c r="B18" s="412" t="s">
        <v>830</v>
      </c>
      <c r="C18" s="413" t="s">
        <v>564</v>
      </c>
      <c r="D18" s="53">
        <v>5980.0</v>
      </c>
      <c r="E18" s="53">
        <v>5980.0</v>
      </c>
      <c r="F18" s="53">
        <v>4784.0</v>
      </c>
      <c r="G18" s="53">
        <v>4186.0</v>
      </c>
      <c r="H18" s="53">
        <v>500.0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76"/>
      <c r="Z18" s="76"/>
    </row>
    <row r="19" ht="10.5" customHeight="1">
      <c r="A19" s="615"/>
      <c r="B19" s="616"/>
      <c r="C19" s="616"/>
      <c r="D19" s="617"/>
      <c r="E19" s="617"/>
      <c r="F19" s="617"/>
      <c r="G19" s="617"/>
      <c r="H19" s="61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76"/>
      <c r="Z19" s="76"/>
    </row>
    <row r="20" ht="16.5" customHeight="1">
      <c r="A20" s="606" t="s">
        <v>831</v>
      </c>
      <c r="B20" s="408"/>
      <c r="C20" s="418" t="s">
        <v>823</v>
      </c>
      <c r="D20" s="53">
        <v>7250.0</v>
      </c>
      <c r="E20" s="53">
        <v>7250.0</v>
      </c>
      <c r="F20" s="53">
        <v>5800.0</v>
      </c>
      <c r="G20" s="53">
        <v>5075.0</v>
      </c>
      <c r="H20" s="53">
        <v>500.0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76"/>
      <c r="Z20" s="76"/>
    </row>
    <row r="21" ht="16.5" customHeight="1">
      <c r="A21" s="592" t="s">
        <v>355</v>
      </c>
      <c r="B21" s="412" t="s">
        <v>356</v>
      </c>
      <c r="C21" s="608" t="s">
        <v>824</v>
      </c>
      <c r="D21" s="53">
        <v>7500.0</v>
      </c>
      <c r="E21" s="53">
        <v>7500.0</v>
      </c>
      <c r="F21" s="53">
        <v>6000.0</v>
      </c>
      <c r="G21" s="53">
        <v>5250.0</v>
      </c>
      <c r="H21" s="53">
        <v>500.0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76"/>
      <c r="Z21" s="76"/>
    </row>
    <row r="22" ht="16.5" customHeight="1">
      <c r="A22" s="619" t="s">
        <v>511</v>
      </c>
      <c r="B22" s="412" t="s">
        <v>832</v>
      </c>
      <c r="C22" s="413" t="s">
        <v>564</v>
      </c>
      <c r="D22" s="53">
        <v>6650.0</v>
      </c>
      <c r="E22" s="53">
        <v>6650.0</v>
      </c>
      <c r="F22" s="53">
        <v>5320.0</v>
      </c>
      <c r="G22" s="53">
        <v>4655.0</v>
      </c>
      <c r="H22" s="53">
        <v>500.0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76"/>
      <c r="Z22" s="76"/>
    </row>
    <row r="23" ht="4.5" customHeight="1">
      <c r="A23" s="597"/>
      <c r="B23" s="598"/>
      <c r="C23" s="598"/>
      <c r="D23" s="610"/>
      <c r="E23" s="610"/>
      <c r="F23" s="610"/>
      <c r="G23" s="611"/>
      <c r="H23" s="614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76"/>
      <c r="Z23" s="76"/>
    </row>
    <row r="24" ht="16.5" customHeight="1">
      <c r="A24" s="606" t="s">
        <v>833</v>
      </c>
      <c r="B24" s="408"/>
      <c r="C24" s="418" t="s">
        <v>823</v>
      </c>
      <c r="D24" s="53">
        <v>7600.0</v>
      </c>
      <c r="E24" s="53">
        <v>7600.0</v>
      </c>
      <c r="F24" s="53">
        <v>6080.0</v>
      </c>
      <c r="G24" s="53">
        <v>5320.0</v>
      </c>
      <c r="H24" s="53">
        <v>500.0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76"/>
      <c r="Z24" s="76"/>
    </row>
    <row r="25" ht="16.5" customHeight="1">
      <c r="A25" s="592" t="s">
        <v>355</v>
      </c>
      <c r="B25" s="412" t="s">
        <v>356</v>
      </c>
      <c r="C25" s="608" t="s">
        <v>824</v>
      </c>
      <c r="D25" s="53">
        <v>7880.0</v>
      </c>
      <c r="E25" s="53">
        <v>7880.0</v>
      </c>
      <c r="F25" s="53">
        <v>6304.0</v>
      </c>
      <c r="G25" s="53">
        <v>5516.0</v>
      </c>
      <c r="H25" s="53">
        <v>500.0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76"/>
      <c r="Z25" s="76"/>
    </row>
    <row r="26" ht="16.5" customHeight="1">
      <c r="A26" s="619" t="s">
        <v>511</v>
      </c>
      <c r="B26" s="412" t="s">
        <v>834</v>
      </c>
      <c r="C26" s="413" t="s">
        <v>564</v>
      </c>
      <c r="D26" s="53">
        <v>7000.0</v>
      </c>
      <c r="E26" s="53">
        <v>7000.0</v>
      </c>
      <c r="F26" s="53">
        <v>5600.0</v>
      </c>
      <c r="G26" s="53">
        <v>4900.0</v>
      </c>
      <c r="H26" s="53">
        <v>500.0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76"/>
      <c r="Z26" s="76"/>
    </row>
    <row r="27" ht="3.75" customHeight="1">
      <c r="A27" s="597"/>
      <c r="B27" s="598"/>
      <c r="C27" s="598"/>
      <c r="D27" s="610"/>
      <c r="E27" s="610"/>
      <c r="F27" s="610"/>
      <c r="G27" s="611"/>
      <c r="H27" s="614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76"/>
      <c r="Z27" s="76"/>
    </row>
    <row r="28" ht="16.5" customHeight="1">
      <c r="A28" s="606" t="s">
        <v>835</v>
      </c>
      <c r="B28" s="408"/>
      <c r="C28" s="418" t="s">
        <v>823</v>
      </c>
      <c r="D28" s="53">
        <v>8350.0</v>
      </c>
      <c r="E28" s="53">
        <v>8350.0</v>
      </c>
      <c r="F28" s="53">
        <v>6680.0</v>
      </c>
      <c r="G28" s="53">
        <v>5845.0</v>
      </c>
      <c r="H28" s="53">
        <v>500.0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76"/>
      <c r="Z28" s="76"/>
    </row>
    <row r="29" ht="16.5" customHeight="1">
      <c r="A29" s="592" t="s">
        <v>355</v>
      </c>
      <c r="B29" s="412" t="s">
        <v>356</v>
      </c>
      <c r="C29" s="608" t="s">
        <v>824</v>
      </c>
      <c r="D29" s="53">
        <v>8600.0</v>
      </c>
      <c r="E29" s="53">
        <v>8600.0</v>
      </c>
      <c r="F29" s="53">
        <v>6880.0</v>
      </c>
      <c r="G29" s="53">
        <v>6020.0</v>
      </c>
      <c r="H29" s="53">
        <v>500.0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76"/>
      <c r="Z29" s="76"/>
    </row>
    <row r="30" ht="16.5" customHeight="1">
      <c r="A30" s="619" t="s">
        <v>511</v>
      </c>
      <c r="B30" s="412" t="s">
        <v>836</v>
      </c>
      <c r="C30" s="413" t="s">
        <v>564</v>
      </c>
      <c r="D30" s="53">
        <v>7750.0</v>
      </c>
      <c r="E30" s="53">
        <v>7750.0</v>
      </c>
      <c r="F30" s="53">
        <v>6200.0</v>
      </c>
      <c r="G30" s="53">
        <v>5425.0</v>
      </c>
      <c r="H30" s="53">
        <v>500.0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76"/>
      <c r="Z30" s="76"/>
    </row>
    <row r="31" ht="24.0" customHeight="1">
      <c r="A31" s="620" t="s">
        <v>373</v>
      </c>
      <c r="B31" s="433"/>
      <c r="C31" s="433"/>
      <c r="D31" s="433"/>
      <c r="E31" s="433"/>
      <c r="F31" s="433"/>
      <c r="G31" s="433"/>
      <c r="H31" s="621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76"/>
      <c r="Z31" s="76"/>
    </row>
    <row r="32" ht="16.5" customHeight="1">
      <c r="A32" s="443" t="s">
        <v>96</v>
      </c>
      <c r="B32" s="89"/>
      <c r="C32" s="443" t="s">
        <v>97</v>
      </c>
      <c r="D32" s="89"/>
      <c r="E32" s="89"/>
      <c r="F32" s="89"/>
      <c r="G32" s="89"/>
      <c r="H32" s="9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76"/>
      <c r="Z32" s="76"/>
    </row>
    <row r="33" ht="12.0" customHeight="1">
      <c r="A33" s="152" t="s">
        <v>98</v>
      </c>
      <c r="B33" s="38"/>
      <c r="C33" s="153" t="s">
        <v>99</v>
      </c>
      <c r="D33" s="62"/>
      <c r="E33" s="62"/>
      <c r="F33" s="62"/>
      <c r="G33" s="62"/>
      <c r="H33" s="622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76"/>
      <c r="Z33" s="76"/>
    </row>
    <row r="34" ht="12.0" customHeight="1">
      <c r="A34" s="64" t="s">
        <v>246</v>
      </c>
      <c r="B34" s="85"/>
      <c r="C34" s="64" t="s">
        <v>101</v>
      </c>
      <c r="D34" s="65"/>
      <c r="E34" s="65"/>
      <c r="F34" s="65"/>
      <c r="G34" s="65"/>
      <c r="H34" s="72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76"/>
      <c r="Z34" s="76"/>
    </row>
    <row r="35" ht="12.0" customHeight="1">
      <c r="A35" s="60" t="s">
        <v>376</v>
      </c>
      <c r="C35" s="68" t="s">
        <v>518</v>
      </c>
      <c r="D35" s="65"/>
      <c r="E35" s="65"/>
      <c r="F35" s="65"/>
      <c r="G35" s="65"/>
      <c r="H35" s="7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76"/>
      <c r="Z35" s="76"/>
    </row>
    <row r="36" ht="12.0" customHeight="1">
      <c r="A36" s="69" t="s">
        <v>104</v>
      </c>
      <c r="C36" s="68" t="s">
        <v>105</v>
      </c>
      <c r="D36" s="65"/>
      <c r="E36" s="65"/>
      <c r="F36" s="65"/>
      <c r="G36" s="65"/>
      <c r="H36" s="72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76"/>
      <c r="Z36" s="76"/>
    </row>
    <row r="37" ht="12.0" customHeight="1">
      <c r="A37" s="69" t="s">
        <v>837</v>
      </c>
      <c r="C37" s="68" t="s">
        <v>107</v>
      </c>
      <c r="D37" s="65"/>
      <c r="E37" s="65"/>
      <c r="F37" s="65"/>
      <c r="G37" s="65"/>
      <c r="H37" s="72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76"/>
      <c r="Z37" s="76"/>
    </row>
    <row r="38" ht="15.0" customHeight="1">
      <c r="A38" s="71" t="s">
        <v>838</v>
      </c>
      <c r="B38" s="23"/>
      <c r="C38" s="73" t="s">
        <v>377</v>
      </c>
      <c r="D38" s="74"/>
      <c r="E38" s="74"/>
      <c r="F38" s="74"/>
      <c r="G38" s="74"/>
      <c r="H38" s="6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76"/>
      <c r="Z38" s="76"/>
    </row>
    <row r="39" ht="12.0" customHeight="1">
      <c r="A39" s="71" t="s">
        <v>839</v>
      </c>
      <c r="B39" s="23"/>
      <c r="C39" s="70"/>
      <c r="D39" s="65"/>
      <c r="E39" s="65"/>
      <c r="F39" s="65"/>
      <c r="G39" s="65"/>
      <c r="H39" s="72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76"/>
      <c r="Z39" s="76"/>
    </row>
    <row r="40" ht="12.0" customHeight="1">
      <c r="A40" s="71" t="s">
        <v>633</v>
      </c>
      <c r="B40" s="23"/>
      <c r="C40" s="64"/>
      <c r="D40" s="65"/>
      <c r="E40" s="65"/>
      <c r="F40" s="65"/>
      <c r="G40" s="65"/>
      <c r="H40" s="72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76"/>
      <c r="Z40" s="76"/>
    </row>
    <row r="41" ht="12.0" customHeight="1">
      <c r="A41" s="71" t="s">
        <v>840</v>
      </c>
      <c r="B41" s="23"/>
      <c r="C41" s="64"/>
      <c r="D41" s="65"/>
      <c r="E41" s="65"/>
      <c r="F41" s="65"/>
      <c r="G41" s="65"/>
      <c r="H41" s="72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76"/>
      <c r="Z41" s="76"/>
    </row>
    <row r="42" ht="12.0" customHeight="1">
      <c r="A42" s="71" t="s">
        <v>841</v>
      </c>
      <c r="B42" s="23"/>
      <c r="C42" s="64"/>
      <c r="D42" s="65"/>
      <c r="E42" s="65"/>
      <c r="F42" s="65"/>
      <c r="G42" s="65"/>
      <c r="H42" s="72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76"/>
      <c r="Z42" s="76"/>
    </row>
    <row r="43" ht="12.0" customHeight="1">
      <c r="A43" s="71" t="s">
        <v>842</v>
      </c>
      <c r="B43" s="23"/>
      <c r="C43" s="530" t="s">
        <v>384</v>
      </c>
      <c r="D43" s="531"/>
      <c r="E43" s="531"/>
      <c r="F43" s="531"/>
      <c r="G43" s="531"/>
      <c r="H43" s="532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76"/>
      <c r="Z43" s="76"/>
    </row>
    <row r="44" ht="12.0" customHeight="1">
      <c r="A44" s="71" t="s">
        <v>637</v>
      </c>
      <c r="B44" s="23"/>
      <c r="C44" s="81" t="s">
        <v>386</v>
      </c>
      <c r="D44" s="62"/>
      <c r="E44" s="62"/>
      <c r="F44" s="62" t="s">
        <v>843</v>
      </c>
      <c r="G44" s="62"/>
      <c r="H44" s="6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76"/>
      <c r="Z44" s="76"/>
    </row>
    <row r="45" ht="12.0" customHeight="1">
      <c r="A45" s="71" t="s">
        <v>844</v>
      </c>
      <c r="B45" s="23"/>
      <c r="C45" s="64"/>
      <c r="D45" s="65"/>
      <c r="E45" s="65"/>
      <c r="F45" s="65"/>
      <c r="G45" s="65"/>
      <c r="H45" s="72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76"/>
      <c r="Z45" s="76"/>
    </row>
    <row r="46" ht="12.0" customHeight="1">
      <c r="A46" s="71" t="s">
        <v>845</v>
      </c>
      <c r="B46" s="23"/>
      <c r="C46" s="64"/>
      <c r="D46" s="65"/>
      <c r="E46" s="65"/>
      <c r="F46" s="65"/>
      <c r="G46" s="65"/>
      <c r="H46" s="72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76"/>
      <c r="Z46" s="76"/>
    </row>
    <row r="47" ht="12.0" customHeight="1">
      <c r="A47" s="71" t="s">
        <v>846</v>
      </c>
      <c r="B47" s="23"/>
      <c r="C47" s="64"/>
      <c r="D47" s="65"/>
      <c r="E47" s="65"/>
      <c r="F47" s="65"/>
      <c r="G47" s="65"/>
      <c r="H47" s="72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76"/>
      <c r="Z47" s="76"/>
    </row>
    <row r="48" ht="12.0" customHeight="1">
      <c r="A48" s="71" t="s">
        <v>847</v>
      </c>
      <c r="B48" s="23"/>
      <c r="C48" s="64"/>
      <c r="D48" s="65"/>
      <c r="E48" s="65"/>
      <c r="F48" s="65"/>
      <c r="G48" s="65"/>
      <c r="H48" s="72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76"/>
      <c r="Z48" s="76"/>
    </row>
    <row r="49" ht="12.0" customHeight="1">
      <c r="A49" s="71" t="s">
        <v>848</v>
      </c>
      <c r="B49" s="23"/>
      <c r="C49" s="64"/>
      <c r="D49" s="65"/>
      <c r="E49" s="65"/>
      <c r="F49" s="65"/>
      <c r="G49" s="65"/>
      <c r="H49" s="72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76"/>
      <c r="Z49" s="76"/>
    </row>
    <row r="50" ht="12.0" customHeight="1">
      <c r="A50" s="71" t="s">
        <v>388</v>
      </c>
      <c r="B50" s="23"/>
      <c r="C50" s="64"/>
      <c r="D50" s="65"/>
      <c r="E50" s="65"/>
      <c r="F50" s="65"/>
      <c r="G50" s="65"/>
      <c r="H50" s="72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76"/>
      <c r="Z50" s="76"/>
    </row>
    <row r="51" ht="12.0" customHeight="1">
      <c r="A51" s="71"/>
      <c r="B51" s="23"/>
      <c r="C51" s="64"/>
      <c r="D51" s="65"/>
      <c r="E51" s="65"/>
      <c r="F51" s="65"/>
      <c r="G51" s="65"/>
      <c r="H51" s="72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76"/>
      <c r="Z51" s="76"/>
    </row>
    <row r="52" ht="12.0" customHeight="1">
      <c r="A52" s="587" t="s">
        <v>642</v>
      </c>
      <c r="B52" s="26"/>
      <c r="C52" s="26"/>
      <c r="D52" s="26"/>
      <c r="E52" s="26"/>
      <c r="F52" s="26"/>
      <c r="G52" s="26"/>
      <c r="H52" s="115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76"/>
      <c r="Z52" s="76"/>
    </row>
    <row r="53" ht="15.75" customHeight="1">
      <c r="A53" s="353" t="s">
        <v>114</v>
      </c>
      <c r="B53" s="23" t="s">
        <v>115</v>
      </c>
      <c r="C53" s="85" t="s">
        <v>137</v>
      </c>
      <c r="D53" s="65"/>
      <c r="E53" s="65"/>
      <c r="F53" s="65"/>
      <c r="G53" s="65"/>
      <c r="H53" s="67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76"/>
      <c r="Z53" s="76"/>
    </row>
    <row r="54" ht="15.75" customHeight="1">
      <c r="A54" s="355" t="s">
        <v>117</v>
      </c>
      <c r="B54" s="85" t="s">
        <v>224</v>
      </c>
      <c r="C54" s="85" t="s">
        <v>225</v>
      </c>
      <c r="D54" s="65"/>
      <c r="E54" s="65"/>
      <c r="F54" s="65"/>
      <c r="G54" s="65"/>
      <c r="H54" s="67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76"/>
      <c r="Z54" s="76"/>
    </row>
    <row r="55" ht="15.75" customHeight="1">
      <c r="A55" s="355" t="s">
        <v>121</v>
      </c>
      <c r="B55" s="85" t="s">
        <v>849</v>
      </c>
      <c r="C55" s="23" t="s">
        <v>850</v>
      </c>
      <c r="D55" s="65"/>
      <c r="E55" s="65"/>
      <c r="F55" s="65"/>
      <c r="G55" s="65"/>
      <c r="H55" s="67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76"/>
      <c r="Z55" s="76"/>
    </row>
    <row r="56" ht="15.75" customHeight="1">
      <c r="A56" s="355"/>
      <c r="B56" s="85" t="s">
        <v>851</v>
      </c>
      <c r="C56" s="85"/>
      <c r="D56" s="65"/>
      <c r="E56" s="65"/>
      <c r="F56" s="65"/>
      <c r="G56" s="65"/>
      <c r="H56" s="67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76"/>
      <c r="Z56" s="76"/>
    </row>
    <row r="57" ht="15.75" customHeight="1">
      <c r="A57" s="355" t="s">
        <v>194</v>
      </c>
      <c r="B57" s="85" t="s">
        <v>118</v>
      </c>
      <c r="C57" s="23" t="s">
        <v>850</v>
      </c>
      <c r="D57" s="65"/>
      <c r="E57" s="65"/>
      <c r="F57" s="65"/>
      <c r="G57" s="65"/>
      <c r="H57" s="67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76"/>
      <c r="Z57" s="76"/>
    </row>
    <row r="58" ht="15.75" customHeight="1">
      <c r="A58" s="355" t="s">
        <v>253</v>
      </c>
      <c r="B58" s="85" t="s">
        <v>122</v>
      </c>
      <c r="C58" s="85" t="s">
        <v>119</v>
      </c>
      <c r="D58" s="65"/>
      <c r="E58" s="65"/>
      <c r="F58" s="65"/>
      <c r="G58" s="65"/>
      <c r="H58" s="67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76"/>
      <c r="Z58" s="76"/>
    </row>
    <row r="59" ht="12.75" customHeight="1">
      <c r="A59" s="404" t="s">
        <v>148</v>
      </c>
      <c r="B59" s="5"/>
      <c r="C59" s="576" t="s">
        <v>149</v>
      </c>
      <c r="D59" s="89"/>
      <c r="E59" s="89"/>
      <c r="F59" s="89"/>
      <c r="G59" s="89"/>
      <c r="H59" s="90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76"/>
      <c r="Z59" s="76"/>
    </row>
    <row r="60" ht="13.5" customHeight="1">
      <c r="A60" s="459" t="s">
        <v>852</v>
      </c>
      <c r="B60" s="460"/>
      <c r="C60" s="118">
        <v>1.0</v>
      </c>
      <c r="D60" s="62" t="s">
        <v>151</v>
      </c>
      <c r="E60" s="62"/>
      <c r="F60" s="119"/>
      <c r="G60" s="119"/>
      <c r="H60" s="46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76"/>
      <c r="Z60" s="76"/>
    </row>
    <row r="61" ht="13.5" customHeight="1">
      <c r="A61" s="116" t="s">
        <v>853</v>
      </c>
      <c r="B61" s="91"/>
      <c r="C61" s="121">
        <v>0.5</v>
      </c>
      <c r="D61" s="624" t="s">
        <v>153</v>
      </c>
      <c r="E61" s="122"/>
      <c r="F61" s="123"/>
      <c r="G61" s="123"/>
      <c r="H61" s="625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76"/>
      <c r="Z61" s="76"/>
    </row>
    <row r="62" ht="13.5" customHeight="1">
      <c r="A62" s="125" t="s">
        <v>854</v>
      </c>
      <c r="B62" s="23"/>
      <c r="C62" s="121">
        <v>0.0</v>
      </c>
      <c r="D62" s="156" t="s">
        <v>155</v>
      </c>
      <c r="E62" s="156"/>
      <c r="F62" s="626"/>
      <c r="G62" s="626"/>
      <c r="H62" s="136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76"/>
      <c r="Z62" s="76"/>
    </row>
    <row r="63" ht="13.5" customHeight="1">
      <c r="A63" s="127" t="s">
        <v>855</v>
      </c>
      <c r="B63" s="23"/>
      <c r="C63" s="129"/>
      <c r="D63" s="65"/>
      <c r="E63" s="65"/>
      <c r="F63" s="130"/>
      <c r="G63" s="130"/>
      <c r="H63" s="72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76"/>
      <c r="Z63" s="76"/>
    </row>
    <row r="64" ht="13.5" customHeight="1">
      <c r="A64" s="127" t="s">
        <v>856</v>
      </c>
      <c r="B64" s="23"/>
      <c r="C64" s="71"/>
      <c r="D64" s="23"/>
      <c r="E64" s="23"/>
      <c r="F64" s="23"/>
      <c r="G64" s="23"/>
      <c r="H64" s="72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76"/>
      <c r="Z64" s="76"/>
    </row>
    <row r="65" ht="13.5" customHeight="1">
      <c r="A65" s="127" t="s">
        <v>857</v>
      </c>
      <c r="B65" s="23"/>
      <c r="C65" s="71"/>
      <c r="D65" s="23"/>
      <c r="E65" s="23"/>
      <c r="F65" s="23"/>
      <c r="G65" s="23"/>
      <c r="H65" s="72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76"/>
      <c r="Z65" s="76"/>
    </row>
    <row r="66" ht="13.5" customHeight="1">
      <c r="A66" s="127" t="s">
        <v>858</v>
      </c>
      <c r="B66" s="23"/>
      <c r="C66" s="71"/>
      <c r="D66" s="23"/>
      <c r="E66" s="23"/>
      <c r="F66" s="23"/>
      <c r="G66" s="23"/>
      <c r="H66" s="72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76"/>
      <c r="Z66" s="76"/>
    </row>
    <row r="67" ht="13.5" customHeight="1">
      <c r="A67" s="127" t="s">
        <v>859</v>
      </c>
      <c r="B67" s="23"/>
      <c r="C67" s="71"/>
      <c r="D67" s="23"/>
      <c r="E67" s="23"/>
      <c r="F67" s="23"/>
      <c r="G67" s="23"/>
      <c r="H67" s="72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76"/>
      <c r="Z67" s="76"/>
    </row>
    <row r="68" ht="13.5" customHeight="1">
      <c r="A68" s="132" t="s">
        <v>161</v>
      </c>
      <c r="B68" s="23"/>
      <c r="C68" s="71"/>
      <c r="D68" s="23"/>
      <c r="E68" s="23"/>
      <c r="F68" s="23"/>
      <c r="G68" s="23"/>
      <c r="H68" s="72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76"/>
      <c r="Z68" s="76"/>
    </row>
    <row r="69" ht="13.5" customHeight="1">
      <c r="A69" s="125" t="s">
        <v>860</v>
      </c>
      <c r="B69" s="23"/>
      <c r="C69" s="71"/>
      <c r="D69" s="23"/>
      <c r="E69" s="23"/>
      <c r="F69" s="23"/>
      <c r="G69" s="23"/>
      <c r="H69" s="72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76"/>
      <c r="Z69" s="76"/>
    </row>
    <row r="70" ht="13.5" customHeight="1">
      <c r="A70" s="71" t="s">
        <v>164</v>
      </c>
      <c r="B70" s="135" t="s">
        <v>165</v>
      </c>
      <c r="C70" s="71"/>
      <c r="D70" s="23"/>
      <c r="E70" s="23"/>
      <c r="F70" s="23"/>
      <c r="G70" s="23"/>
      <c r="H70" s="72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76"/>
      <c r="Z70" s="76"/>
    </row>
    <row r="71" ht="13.5" customHeight="1">
      <c r="A71" s="71" t="s">
        <v>166</v>
      </c>
      <c r="B71" s="135" t="s">
        <v>861</v>
      </c>
      <c r="C71" s="71"/>
      <c r="D71" s="23"/>
      <c r="E71" s="23"/>
      <c r="F71" s="23"/>
      <c r="G71" s="23"/>
      <c r="H71" s="72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76"/>
      <c r="Z71" s="76"/>
    </row>
    <row r="72" ht="13.5" customHeight="1">
      <c r="A72" s="71" t="s">
        <v>168</v>
      </c>
      <c r="B72" s="135" t="s">
        <v>862</v>
      </c>
      <c r="C72" s="71"/>
      <c r="D72" s="23"/>
      <c r="E72" s="23"/>
      <c r="F72" s="23"/>
      <c r="G72" s="23"/>
      <c r="H72" s="72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76"/>
      <c r="Z72" s="76"/>
    </row>
    <row r="73" ht="13.5" customHeight="1">
      <c r="A73" s="71" t="s">
        <v>170</v>
      </c>
      <c r="B73" s="23" t="s">
        <v>171</v>
      </c>
      <c r="C73" s="71"/>
      <c r="D73" s="23"/>
      <c r="E73" s="23"/>
      <c r="F73" s="23"/>
      <c r="G73" s="23"/>
      <c r="H73" s="627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76"/>
      <c r="Z73" s="76"/>
    </row>
    <row r="74" ht="13.5" customHeight="1">
      <c r="A74" s="71" t="s">
        <v>172</v>
      </c>
      <c r="B74" s="23" t="s">
        <v>173</v>
      </c>
      <c r="C74" s="86"/>
      <c r="D74" s="87"/>
      <c r="E74" s="87"/>
      <c r="F74" s="87"/>
      <c r="G74" s="87"/>
      <c r="H74" s="628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76"/>
      <c r="Z74" s="76"/>
    </row>
    <row r="75" ht="13.5" customHeight="1">
      <c r="A75" s="404" t="s">
        <v>174</v>
      </c>
      <c r="B75" s="5"/>
      <c r="C75" s="5"/>
      <c r="D75" s="5"/>
      <c r="E75" s="5"/>
      <c r="F75" s="5"/>
      <c r="G75" s="5"/>
      <c r="H75" s="6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76"/>
      <c r="Z75" s="76"/>
    </row>
    <row r="76" ht="13.5" customHeight="1">
      <c r="A76" s="64" t="s">
        <v>863</v>
      </c>
      <c r="B76" s="65"/>
      <c r="C76" s="65"/>
      <c r="D76" s="65"/>
      <c r="E76" s="65"/>
      <c r="F76" s="65"/>
      <c r="G76" s="65"/>
      <c r="H76" s="627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76"/>
      <c r="Z76" s="76"/>
    </row>
    <row r="77" ht="13.5" customHeight="1">
      <c r="A77" s="64" t="s">
        <v>176</v>
      </c>
      <c r="B77" s="65"/>
      <c r="C77" s="65"/>
      <c r="D77" s="65"/>
      <c r="E77" s="65"/>
      <c r="F77" s="65"/>
      <c r="G77" s="65"/>
      <c r="H77" s="627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76"/>
      <c r="Z77" s="76"/>
    </row>
    <row r="78" ht="13.5" customHeight="1">
      <c r="A78" s="64" t="s">
        <v>177</v>
      </c>
      <c r="B78" s="65"/>
      <c r="C78" s="65"/>
      <c r="D78" s="65"/>
      <c r="E78" s="65"/>
      <c r="F78" s="65"/>
      <c r="G78" s="65"/>
      <c r="H78" s="627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76"/>
      <c r="Z78" s="76"/>
    </row>
    <row r="79" ht="13.5" customHeight="1">
      <c r="A79" s="64" t="s">
        <v>864</v>
      </c>
      <c r="B79" s="65"/>
      <c r="C79" s="65"/>
      <c r="D79" s="65"/>
      <c r="E79" s="65"/>
      <c r="F79" s="65"/>
      <c r="G79" s="65"/>
      <c r="H79" s="627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76"/>
      <c r="Z79" s="76"/>
    </row>
    <row r="80" ht="12.75" customHeight="1">
      <c r="A80" s="60" t="s">
        <v>179</v>
      </c>
      <c r="H80" s="61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76"/>
      <c r="Z80" s="76"/>
    </row>
    <row r="81" ht="15.0" customHeight="1">
      <c r="A81" s="137" t="s">
        <v>180</v>
      </c>
      <c r="H81" s="61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76"/>
      <c r="Z81" s="76"/>
    </row>
    <row r="82" ht="13.5" customHeight="1">
      <c r="A82" s="138" t="s">
        <v>181</v>
      </c>
      <c r="B82" s="65"/>
      <c r="C82" s="65"/>
      <c r="D82" s="65"/>
      <c r="E82" s="65"/>
      <c r="F82" s="65"/>
      <c r="G82" s="65"/>
      <c r="H82" s="627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76"/>
      <c r="Z82" s="76"/>
    </row>
    <row r="83" ht="13.5" customHeight="1">
      <c r="A83" s="64" t="s">
        <v>182</v>
      </c>
      <c r="B83" s="65"/>
      <c r="C83" s="65"/>
      <c r="D83" s="65"/>
      <c r="E83" s="65"/>
      <c r="F83" s="65"/>
      <c r="G83" s="65"/>
      <c r="H83" s="627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76"/>
      <c r="Z83" s="76"/>
    </row>
    <row r="84" ht="26.25" customHeight="1">
      <c r="A84" s="78" t="s">
        <v>865</v>
      </c>
      <c r="B84" s="45"/>
      <c r="C84" s="45"/>
      <c r="D84" s="45"/>
      <c r="E84" s="45"/>
      <c r="F84" s="45"/>
      <c r="G84" s="45"/>
      <c r="H84" s="46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76"/>
      <c r="Z84" s="76"/>
    </row>
    <row r="85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76"/>
      <c r="Z85" s="76"/>
    </row>
    <row r="86" ht="13.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76"/>
      <c r="Z86" s="76"/>
    </row>
    <row r="87" ht="13.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76"/>
      <c r="Z87" s="76"/>
    </row>
    <row r="88" ht="13.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76"/>
      <c r="Z88" s="76"/>
    </row>
    <row r="89" ht="13.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76"/>
      <c r="Z89" s="76"/>
    </row>
    <row r="90" ht="13.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76"/>
      <c r="Z90" s="76"/>
    </row>
    <row r="91" ht="13.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76"/>
      <c r="Z91" s="76"/>
    </row>
    <row r="92" ht="13.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76"/>
      <c r="Z92" s="76"/>
    </row>
    <row r="93" ht="13.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76"/>
      <c r="Z93" s="76"/>
    </row>
    <row r="94" ht="13.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76"/>
      <c r="Z94" s="76"/>
    </row>
    <row r="95" ht="13.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76"/>
      <c r="Z95" s="76"/>
    </row>
    <row r="96" ht="13.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76"/>
      <c r="Z96" s="76"/>
    </row>
    <row r="97" ht="13.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76"/>
      <c r="Z97" s="76"/>
    </row>
    <row r="98" ht="13.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76"/>
      <c r="Z98" s="76"/>
    </row>
    <row r="99" ht="13.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76"/>
      <c r="Z99" s="76"/>
    </row>
    <row r="100" ht="13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76"/>
      <c r="Z100" s="76"/>
    </row>
    <row r="101" ht="13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76"/>
      <c r="Z101" s="76"/>
    </row>
    <row r="102" ht="13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76"/>
      <c r="Z102" s="76"/>
    </row>
    <row r="103" ht="13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76"/>
      <c r="Z103" s="76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76"/>
      <c r="Z104" s="76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76"/>
      <c r="Z105" s="76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76"/>
      <c r="Z106" s="76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76"/>
      <c r="Z107" s="76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76"/>
      <c r="Z108" s="76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76"/>
      <c r="Z109" s="76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76"/>
      <c r="Z110" s="76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76"/>
      <c r="Z111" s="76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76"/>
      <c r="Z112" s="76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76"/>
      <c r="Z113" s="76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76"/>
      <c r="Z114" s="76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76"/>
      <c r="Z115" s="76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76"/>
      <c r="Z116" s="76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76"/>
      <c r="Z117" s="76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76"/>
      <c r="Z118" s="76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76"/>
      <c r="Z119" s="76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76"/>
      <c r="Z120" s="76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76"/>
      <c r="Z121" s="76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76"/>
      <c r="Z122" s="76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76"/>
      <c r="Z123" s="76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76"/>
      <c r="Z124" s="76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76"/>
      <c r="Z125" s="76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76"/>
      <c r="Z126" s="76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76"/>
      <c r="Z127" s="76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76"/>
      <c r="Z128" s="76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76"/>
      <c r="Z129" s="76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76"/>
      <c r="Z130" s="76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76"/>
      <c r="Z131" s="76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76"/>
      <c r="Z132" s="76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76"/>
      <c r="Z133" s="76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76"/>
      <c r="Z134" s="76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76"/>
      <c r="Z135" s="76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76"/>
      <c r="Z136" s="76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76"/>
      <c r="Z137" s="76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76"/>
      <c r="Z138" s="76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76"/>
      <c r="Z139" s="76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76"/>
      <c r="Z140" s="76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76"/>
      <c r="Z141" s="76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76"/>
      <c r="Z142" s="76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76"/>
      <c r="Z143" s="76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76"/>
      <c r="Z144" s="76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76"/>
      <c r="Z145" s="76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76"/>
      <c r="Z146" s="76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76"/>
      <c r="Z147" s="76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76"/>
      <c r="Z148" s="76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76"/>
      <c r="Z149" s="76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76"/>
      <c r="Z150" s="76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76"/>
      <c r="Z151" s="76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76"/>
      <c r="Z152" s="76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76"/>
      <c r="Z153" s="76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76"/>
      <c r="Z154" s="76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76"/>
      <c r="Z155" s="76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76"/>
      <c r="Z156" s="76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76"/>
      <c r="Z157" s="76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76"/>
      <c r="Z158" s="76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76"/>
      <c r="Z159" s="76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76"/>
      <c r="Z160" s="76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76"/>
      <c r="Z161" s="76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76"/>
      <c r="Z162" s="76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76"/>
      <c r="Z163" s="76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76"/>
      <c r="Z164" s="76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76"/>
      <c r="Z165" s="76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76"/>
      <c r="Z166" s="76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76"/>
      <c r="Z167" s="76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76"/>
      <c r="Z168" s="76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76"/>
      <c r="Z169" s="76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76"/>
      <c r="Z170" s="76"/>
    </row>
    <row r="171" ht="13.5" customHeight="1">
      <c r="A171" s="23"/>
      <c r="B171" s="23"/>
      <c r="C171" s="23"/>
      <c r="D171" s="23"/>
      <c r="E171" s="23"/>
      <c r="F171" s="23"/>
      <c r="G171" s="23"/>
      <c r="H171" s="24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76"/>
    </row>
    <row r="172" ht="13.5" customHeight="1">
      <c r="A172" s="23"/>
      <c r="B172" s="23"/>
      <c r="C172" s="23"/>
      <c r="D172" s="23"/>
      <c r="E172" s="23"/>
      <c r="F172" s="23"/>
      <c r="G172" s="23"/>
      <c r="H172" s="24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76"/>
    </row>
    <row r="173" ht="13.5" customHeight="1">
      <c r="A173" s="23"/>
      <c r="B173" s="23"/>
      <c r="C173" s="23"/>
      <c r="D173" s="23"/>
      <c r="E173" s="23"/>
      <c r="F173" s="23"/>
      <c r="G173" s="23"/>
      <c r="H173" s="24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76"/>
    </row>
    <row r="174" ht="13.5" customHeight="1">
      <c r="A174" s="23"/>
      <c r="B174" s="23"/>
      <c r="C174" s="23"/>
      <c r="D174" s="23"/>
      <c r="E174" s="23"/>
      <c r="F174" s="23"/>
      <c r="G174" s="23"/>
      <c r="H174" s="24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76"/>
    </row>
    <row r="175" ht="13.5" customHeight="1">
      <c r="A175" s="23"/>
      <c r="B175" s="23"/>
      <c r="C175" s="23"/>
      <c r="D175" s="23"/>
      <c r="E175" s="23"/>
      <c r="F175" s="23"/>
      <c r="G175" s="23"/>
      <c r="H175" s="24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76"/>
    </row>
    <row r="176" ht="13.5" customHeight="1">
      <c r="A176" s="23"/>
      <c r="B176" s="23"/>
      <c r="C176" s="23"/>
      <c r="D176" s="23"/>
      <c r="E176" s="23"/>
      <c r="F176" s="23"/>
      <c r="G176" s="23"/>
      <c r="H176" s="24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76"/>
    </row>
    <row r="177" ht="13.5" customHeight="1">
      <c r="A177" s="23"/>
      <c r="B177" s="23"/>
      <c r="C177" s="23"/>
      <c r="D177" s="23"/>
      <c r="E177" s="23"/>
      <c r="F177" s="23"/>
      <c r="G177" s="23"/>
      <c r="H177" s="24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76"/>
    </row>
    <row r="178" ht="13.5" customHeight="1">
      <c r="A178" s="23"/>
      <c r="B178" s="23"/>
      <c r="C178" s="23"/>
      <c r="D178" s="23"/>
      <c r="E178" s="23"/>
      <c r="F178" s="23"/>
      <c r="G178" s="23"/>
      <c r="H178" s="24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76"/>
    </row>
    <row r="179" ht="13.5" customHeight="1">
      <c r="A179" s="23"/>
      <c r="B179" s="23"/>
      <c r="C179" s="23"/>
      <c r="D179" s="23"/>
      <c r="E179" s="23"/>
      <c r="F179" s="23"/>
      <c r="G179" s="23"/>
      <c r="H179" s="24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76"/>
    </row>
    <row r="180" ht="13.5" customHeight="1">
      <c r="A180" s="23"/>
      <c r="B180" s="23"/>
      <c r="C180" s="23"/>
      <c r="D180" s="23"/>
      <c r="E180" s="23"/>
      <c r="F180" s="23"/>
      <c r="G180" s="23"/>
      <c r="H180" s="24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76"/>
    </row>
    <row r="181" ht="13.5" customHeight="1">
      <c r="A181" s="23"/>
      <c r="B181" s="23"/>
      <c r="C181" s="23"/>
      <c r="D181" s="23"/>
      <c r="E181" s="23"/>
      <c r="F181" s="23"/>
      <c r="G181" s="23"/>
      <c r="H181" s="24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76"/>
    </row>
    <row r="182" ht="13.5" customHeight="1">
      <c r="A182" s="23"/>
      <c r="B182" s="23"/>
      <c r="C182" s="23"/>
      <c r="D182" s="23"/>
      <c r="E182" s="23"/>
      <c r="F182" s="23"/>
      <c r="G182" s="23"/>
      <c r="H182" s="24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76"/>
    </row>
    <row r="183" ht="13.5" customHeight="1">
      <c r="A183" s="23"/>
      <c r="B183" s="23"/>
      <c r="C183" s="23"/>
      <c r="D183" s="23"/>
      <c r="E183" s="23"/>
      <c r="F183" s="23"/>
      <c r="G183" s="23"/>
      <c r="H183" s="24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76"/>
    </row>
    <row r="184" ht="13.5" customHeight="1">
      <c r="A184" s="23"/>
      <c r="B184" s="23"/>
      <c r="C184" s="23"/>
      <c r="D184" s="23"/>
      <c r="E184" s="23"/>
      <c r="F184" s="23"/>
      <c r="G184" s="23"/>
      <c r="H184" s="24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76"/>
    </row>
    <row r="185" ht="13.5" customHeight="1">
      <c r="A185" s="23"/>
      <c r="B185" s="23"/>
      <c r="C185" s="23"/>
      <c r="D185" s="23"/>
      <c r="E185" s="23"/>
      <c r="F185" s="23"/>
      <c r="G185" s="23"/>
      <c r="H185" s="24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76"/>
    </row>
    <row r="186" ht="13.5" customHeight="1">
      <c r="A186" s="23"/>
      <c r="B186" s="23"/>
      <c r="C186" s="23"/>
      <c r="D186" s="23"/>
      <c r="E186" s="23"/>
      <c r="F186" s="23"/>
      <c r="G186" s="23"/>
      <c r="H186" s="24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76"/>
    </row>
    <row r="187" ht="13.5" customHeight="1">
      <c r="A187" s="23"/>
      <c r="B187" s="23"/>
      <c r="C187" s="23"/>
      <c r="D187" s="23"/>
      <c r="E187" s="23"/>
      <c r="F187" s="23"/>
      <c r="G187" s="23"/>
      <c r="H187" s="24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76"/>
    </row>
    <row r="188" ht="13.5" customHeight="1">
      <c r="A188" s="23"/>
      <c r="B188" s="23"/>
      <c r="C188" s="23"/>
      <c r="D188" s="23"/>
      <c r="E188" s="23"/>
      <c r="F188" s="23"/>
      <c r="G188" s="23"/>
      <c r="H188" s="24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76"/>
    </row>
    <row r="189" ht="13.5" customHeight="1">
      <c r="A189" s="23"/>
      <c r="B189" s="23"/>
      <c r="C189" s="23"/>
      <c r="D189" s="23"/>
      <c r="E189" s="23"/>
      <c r="F189" s="23"/>
      <c r="G189" s="23"/>
      <c r="H189" s="24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76"/>
    </row>
    <row r="190" ht="13.5" customHeight="1">
      <c r="A190" s="23"/>
      <c r="B190" s="23"/>
      <c r="C190" s="23"/>
      <c r="D190" s="23"/>
      <c r="E190" s="23"/>
      <c r="F190" s="23"/>
      <c r="G190" s="23"/>
      <c r="H190" s="24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76"/>
    </row>
    <row r="191" ht="13.5" customHeight="1">
      <c r="A191" s="23"/>
      <c r="B191" s="23"/>
      <c r="C191" s="23"/>
      <c r="D191" s="23"/>
      <c r="E191" s="23"/>
      <c r="F191" s="23"/>
      <c r="G191" s="23"/>
      <c r="H191" s="24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76"/>
    </row>
    <row r="192" ht="13.5" customHeight="1">
      <c r="A192" s="23"/>
      <c r="B192" s="23"/>
      <c r="C192" s="23"/>
      <c r="D192" s="23"/>
      <c r="E192" s="23"/>
      <c r="F192" s="23"/>
      <c r="G192" s="23"/>
      <c r="H192" s="24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76"/>
    </row>
    <row r="193" ht="13.5" customHeight="1">
      <c r="A193" s="23"/>
      <c r="B193" s="23"/>
      <c r="C193" s="23"/>
      <c r="D193" s="23"/>
      <c r="E193" s="23"/>
      <c r="F193" s="23"/>
      <c r="G193" s="23"/>
      <c r="H193" s="24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76"/>
    </row>
    <row r="194" ht="13.5" customHeight="1">
      <c r="A194" s="23"/>
      <c r="B194" s="23"/>
      <c r="C194" s="23"/>
      <c r="D194" s="23"/>
      <c r="E194" s="23"/>
      <c r="F194" s="23"/>
      <c r="G194" s="23"/>
      <c r="H194" s="24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76"/>
    </row>
    <row r="195" ht="13.5" customHeight="1">
      <c r="A195" s="23"/>
      <c r="B195" s="23"/>
      <c r="C195" s="23"/>
      <c r="D195" s="23"/>
      <c r="E195" s="23"/>
      <c r="F195" s="23"/>
      <c r="G195" s="23"/>
      <c r="H195" s="24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76"/>
    </row>
    <row r="196" ht="13.5" customHeight="1">
      <c r="A196" s="23"/>
      <c r="B196" s="23"/>
      <c r="C196" s="23"/>
      <c r="D196" s="23"/>
      <c r="E196" s="23"/>
      <c r="F196" s="23"/>
      <c r="G196" s="23"/>
      <c r="H196" s="24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76"/>
    </row>
    <row r="197" ht="13.5" customHeight="1">
      <c r="A197" s="23"/>
      <c r="B197" s="23"/>
      <c r="C197" s="23"/>
      <c r="D197" s="23"/>
      <c r="E197" s="23"/>
      <c r="F197" s="23"/>
      <c r="G197" s="23"/>
      <c r="H197" s="24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76"/>
    </row>
    <row r="198" ht="13.5" customHeight="1">
      <c r="A198" s="23"/>
      <c r="B198" s="23"/>
      <c r="C198" s="23"/>
      <c r="D198" s="23"/>
      <c r="E198" s="23"/>
      <c r="F198" s="23"/>
      <c r="G198" s="23"/>
      <c r="H198" s="24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76"/>
    </row>
    <row r="199" ht="13.5" customHeight="1">
      <c r="A199" s="23"/>
      <c r="B199" s="23"/>
      <c r="C199" s="23"/>
      <c r="D199" s="23"/>
      <c r="E199" s="23"/>
      <c r="F199" s="23"/>
      <c r="G199" s="23"/>
      <c r="H199" s="24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76"/>
    </row>
    <row r="200" ht="13.5" customHeight="1">
      <c r="A200" s="23"/>
      <c r="B200" s="23"/>
      <c r="C200" s="23"/>
      <c r="D200" s="23"/>
      <c r="E200" s="23"/>
      <c r="F200" s="23"/>
      <c r="G200" s="23"/>
      <c r="H200" s="24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76"/>
    </row>
    <row r="201" ht="13.5" customHeight="1">
      <c r="A201" s="23"/>
      <c r="B201" s="23"/>
      <c r="C201" s="23"/>
      <c r="D201" s="23"/>
      <c r="E201" s="23"/>
      <c r="F201" s="23"/>
      <c r="G201" s="23"/>
      <c r="H201" s="24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76"/>
    </row>
    <row r="202" ht="13.5" customHeight="1">
      <c r="A202" s="23"/>
      <c r="B202" s="23"/>
      <c r="C202" s="23"/>
      <c r="D202" s="23"/>
      <c r="E202" s="23"/>
      <c r="F202" s="23"/>
      <c r="G202" s="23"/>
      <c r="H202" s="24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76"/>
    </row>
    <row r="203" ht="13.5" customHeight="1">
      <c r="A203" s="23"/>
      <c r="B203" s="23"/>
      <c r="C203" s="23"/>
      <c r="D203" s="23"/>
      <c r="E203" s="23"/>
      <c r="F203" s="23"/>
      <c r="G203" s="23"/>
      <c r="H203" s="24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76"/>
    </row>
    <row r="204" ht="13.5" customHeight="1">
      <c r="A204" s="23"/>
      <c r="B204" s="23"/>
      <c r="C204" s="23"/>
      <c r="D204" s="23"/>
      <c r="E204" s="23"/>
      <c r="F204" s="23"/>
      <c r="G204" s="23"/>
      <c r="H204" s="24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76"/>
    </row>
    <row r="205" ht="13.5" customHeight="1">
      <c r="A205" s="23"/>
      <c r="B205" s="23"/>
      <c r="C205" s="23"/>
      <c r="D205" s="23"/>
      <c r="E205" s="23"/>
      <c r="F205" s="23"/>
      <c r="G205" s="23"/>
      <c r="H205" s="24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76"/>
    </row>
    <row r="206" ht="13.5" customHeight="1">
      <c r="A206" s="23"/>
      <c r="B206" s="23"/>
      <c r="C206" s="23"/>
      <c r="D206" s="23"/>
      <c r="E206" s="23"/>
      <c r="F206" s="23"/>
      <c r="G206" s="23"/>
      <c r="H206" s="24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76"/>
    </row>
    <row r="207" ht="13.5" customHeight="1">
      <c r="A207" s="23"/>
      <c r="B207" s="23"/>
      <c r="C207" s="23"/>
      <c r="D207" s="23"/>
      <c r="E207" s="23"/>
      <c r="F207" s="23"/>
      <c r="G207" s="23"/>
      <c r="H207" s="24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76"/>
    </row>
    <row r="208" ht="13.5" customHeight="1">
      <c r="A208" s="23"/>
      <c r="B208" s="23"/>
      <c r="C208" s="23"/>
      <c r="D208" s="23"/>
      <c r="E208" s="23"/>
      <c r="F208" s="23"/>
      <c r="G208" s="23"/>
      <c r="H208" s="24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76"/>
    </row>
    <row r="209" ht="13.5" customHeight="1">
      <c r="A209" s="23"/>
      <c r="B209" s="23"/>
      <c r="C209" s="23"/>
      <c r="D209" s="23"/>
      <c r="E209" s="23"/>
      <c r="F209" s="23"/>
      <c r="G209" s="23"/>
      <c r="H209" s="24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76"/>
    </row>
    <row r="210" ht="13.5" customHeight="1">
      <c r="A210" s="23"/>
      <c r="B210" s="23"/>
      <c r="C210" s="23"/>
      <c r="D210" s="23"/>
      <c r="E210" s="23"/>
      <c r="F210" s="23"/>
      <c r="G210" s="23"/>
      <c r="H210" s="24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76"/>
    </row>
    <row r="211" ht="13.5" customHeight="1">
      <c r="A211" s="23"/>
      <c r="B211" s="23"/>
      <c r="C211" s="23"/>
      <c r="D211" s="23"/>
      <c r="E211" s="23"/>
      <c r="F211" s="23"/>
      <c r="G211" s="23"/>
      <c r="H211" s="24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76"/>
    </row>
    <row r="212" ht="13.5" customHeight="1">
      <c r="A212" s="23"/>
      <c r="B212" s="23"/>
      <c r="C212" s="23"/>
      <c r="D212" s="23"/>
      <c r="E212" s="23"/>
      <c r="F212" s="23"/>
      <c r="G212" s="23"/>
      <c r="H212" s="24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76"/>
    </row>
    <row r="213" ht="13.5" customHeight="1">
      <c r="A213" s="23"/>
      <c r="B213" s="23"/>
      <c r="C213" s="23"/>
      <c r="D213" s="23"/>
      <c r="E213" s="23"/>
      <c r="F213" s="23"/>
      <c r="G213" s="23"/>
      <c r="H213" s="24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76"/>
    </row>
    <row r="214" ht="13.5" customHeight="1">
      <c r="A214" s="23"/>
      <c r="B214" s="23"/>
      <c r="C214" s="23"/>
      <c r="D214" s="23"/>
      <c r="E214" s="23"/>
      <c r="F214" s="23"/>
      <c r="G214" s="23"/>
      <c r="H214" s="24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76"/>
    </row>
    <row r="215" ht="13.5" customHeight="1">
      <c r="A215" s="23"/>
      <c r="B215" s="23"/>
      <c r="C215" s="23"/>
      <c r="D215" s="23"/>
      <c r="E215" s="23"/>
      <c r="F215" s="23"/>
      <c r="G215" s="23"/>
      <c r="H215" s="24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76"/>
    </row>
    <row r="216" ht="13.5" customHeight="1">
      <c r="A216" s="23"/>
      <c r="B216" s="23"/>
      <c r="C216" s="23"/>
      <c r="D216" s="23"/>
      <c r="E216" s="23"/>
      <c r="F216" s="23"/>
      <c r="G216" s="23"/>
      <c r="H216" s="24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76"/>
    </row>
    <row r="217" ht="13.5" customHeight="1">
      <c r="A217" s="23"/>
      <c r="B217" s="23"/>
      <c r="C217" s="23"/>
      <c r="D217" s="23"/>
      <c r="E217" s="23"/>
      <c r="F217" s="23"/>
      <c r="G217" s="23"/>
      <c r="H217" s="24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76"/>
    </row>
    <row r="218" ht="13.5" customHeight="1">
      <c r="A218" s="23"/>
      <c r="B218" s="23"/>
      <c r="C218" s="23"/>
      <c r="D218" s="23"/>
      <c r="E218" s="23"/>
      <c r="F218" s="23"/>
      <c r="G218" s="23"/>
      <c r="H218" s="24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76"/>
    </row>
    <row r="219" ht="13.5" customHeight="1">
      <c r="A219" s="23"/>
      <c r="B219" s="23"/>
      <c r="C219" s="23"/>
      <c r="D219" s="23"/>
      <c r="E219" s="23"/>
      <c r="F219" s="23"/>
      <c r="G219" s="23"/>
      <c r="H219" s="24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76"/>
    </row>
    <row r="220" ht="13.5" customHeight="1">
      <c r="A220" s="23"/>
      <c r="B220" s="23"/>
      <c r="C220" s="23"/>
      <c r="D220" s="23"/>
      <c r="E220" s="23"/>
      <c r="F220" s="23"/>
      <c r="G220" s="23"/>
      <c r="H220" s="24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76"/>
    </row>
    <row r="221" ht="13.5" customHeight="1">
      <c r="A221" s="23"/>
      <c r="B221" s="23"/>
      <c r="C221" s="23"/>
      <c r="D221" s="23"/>
      <c r="E221" s="23"/>
      <c r="F221" s="23"/>
      <c r="G221" s="23"/>
      <c r="H221" s="24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76"/>
    </row>
    <row r="222" ht="13.5" customHeight="1">
      <c r="A222" s="23"/>
      <c r="B222" s="23"/>
      <c r="C222" s="23"/>
      <c r="D222" s="23"/>
      <c r="E222" s="23"/>
      <c r="F222" s="23"/>
      <c r="G222" s="23"/>
      <c r="H222" s="24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76"/>
    </row>
    <row r="223" ht="13.5" customHeight="1">
      <c r="A223" s="23"/>
      <c r="B223" s="23"/>
      <c r="C223" s="23"/>
      <c r="D223" s="23"/>
      <c r="E223" s="23"/>
      <c r="F223" s="23"/>
      <c r="G223" s="23"/>
      <c r="H223" s="24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76"/>
    </row>
    <row r="224" ht="13.5" customHeight="1">
      <c r="A224" s="23"/>
      <c r="B224" s="23"/>
      <c r="C224" s="23"/>
      <c r="D224" s="23"/>
      <c r="E224" s="23"/>
      <c r="F224" s="23"/>
      <c r="G224" s="23"/>
      <c r="H224" s="24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76"/>
    </row>
    <row r="225" ht="13.5" customHeight="1">
      <c r="A225" s="23"/>
      <c r="B225" s="23"/>
      <c r="C225" s="23"/>
      <c r="D225" s="23"/>
      <c r="E225" s="23"/>
      <c r="F225" s="23"/>
      <c r="G225" s="23"/>
      <c r="H225" s="24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76"/>
    </row>
    <row r="226" ht="13.5" customHeight="1">
      <c r="A226" s="23"/>
      <c r="B226" s="23"/>
      <c r="C226" s="23"/>
      <c r="D226" s="23"/>
      <c r="E226" s="23"/>
      <c r="F226" s="23"/>
      <c r="G226" s="23"/>
      <c r="H226" s="24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76"/>
    </row>
    <row r="227" ht="13.5" customHeight="1">
      <c r="A227" s="23"/>
      <c r="B227" s="23"/>
      <c r="C227" s="23"/>
      <c r="D227" s="23"/>
      <c r="E227" s="23"/>
      <c r="F227" s="23"/>
      <c r="G227" s="23"/>
      <c r="H227" s="24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76"/>
    </row>
    <row r="228" ht="13.5" customHeight="1">
      <c r="A228" s="23"/>
      <c r="B228" s="23"/>
      <c r="C228" s="23"/>
      <c r="D228" s="23"/>
      <c r="E228" s="23"/>
      <c r="F228" s="23"/>
      <c r="G228" s="23"/>
      <c r="H228" s="24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76"/>
    </row>
    <row r="229" ht="13.5" customHeight="1">
      <c r="A229" s="23"/>
      <c r="B229" s="23"/>
      <c r="C229" s="23"/>
      <c r="D229" s="23"/>
      <c r="E229" s="23"/>
      <c r="F229" s="23"/>
      <c r="G229" s="23"/>
      <c r="H229" s="24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76"/>
    </row>
    <row r="230" ht="13.5" customHeight="1">
      <c r="A230" s="23"/>
      <c r="B230" s="23"/>
      <c r="C230" s="23"/>
      <c r="D230" s="23"/>
      <c r="E230" s="23"/>
      <c r="F230" s="23"/>
      <c r="G230" s="23"/>
      <c r="H230" s="24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76"/>
    </row>
    <row r="231" ht="13.5" customHeight="1">
      <c r="A231" s="23"/>
      <c r="B231" s="23"/>
      <c r="C231" s="23"/>
      <c r="D231" s="23"/>
      <c r="E231" s="23"/>
      <c r="F231" s="23"/>
      <c r="G231" s="23"/>
      <c r="H231" s="24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76"/>
    </row>
    <row r="232" ht="13.5" customHeight="1">
      <c r="A232" s="23"/>
      <c r="B232" s="23"/>
      <c r="C232" s="23"/>
      <c r="D232" s="23"/>
      <c r="E232" s="23"/>
      <c r="F232" s="23"/>
      <c r="G232" s="23"/>
      <c r="H232" s="24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76"/>
    </row>
    <row r="233" ht="13.5" customHeight="1">
      <c r="A233" s="23"/>
      <c r="B233" s="23"/>
      <c r="C233" s="23"/>
      <c r="D233" s="23"/>
      <c r="E233" s="23"/>
      <c r="F233" s="23"/>
      <c r="G233" s="23"/>
      <c r="H233" s="24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76"/>
    </row>
    <row r="234" ht="13.5" customHeight="1">
      <c r="A234" s="23"/>
      <c r="B234" s="23"/>
      <c r="C234" s="23"/>
      <c r="D234" s="23"/>
      <c r="E234" s="23"/>
      <c r="F234" s="23"/>
      <c r="G234" s="23"/>
      <c r="H234" s="24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76"/>
    </row>
    <row r="235" ht="13.5" customHeight="1">
      <c r="A235" s="23"/>
      <c r="B235" s="23"/>
      <c r="C235" s="23"/>
      <c r="D235" s="23"/>
      <c r="E235" s="23"/>
      <c r="F235" s="23"/>
      <c r="G235" s="23"/>
      <c r="H235" s="24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76"/>
    </row>
    <row r="236" ht="13.5" customHeight="1">
      <c r="A236" s="23"/>
      <c r="B236" s="23"/>
      <c r="C236" s="23"/>
      <c r="D236" s="23"/>
      <c r="E236" s="23"/>
      <c r="F236" s="23"/>
      <c r="G236" s="23"/>
      <c r="H236" s="24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76"/>
    </row>
    <row r="237" ht="13.5" customHeight="1">
      <c r="A237" s="23"/>
      <c r="B237" s="23"/>
      <c r="C237" s="23"/>
      <c r="D237" s="23"/>
      <c r="E237" s="23"/>
      <c r="F237" s="23"/>
      <c r="G237" s="23"/>
      <c r="H237" s="24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76"/>
    </row>
    <row r="238" ht="13.5" customHeight="1">
      <c r="A238" s="23"/>
      <c r="B238" s="23"/>
      <c r="C238" s="23"/>
      <c r="D238" s="23"/>
      <c r="E238" s="23"/>
      <c r="F238" s="23"/>
      <c r="G238" s="23"/>
      <c r="H238" s="24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76"/>
    </row>
    <row r="239" ht="13.5" customHeight="1">
      <c r="A239" s="23"/>
      <c r="B239" s="23"/>
      <c r="C239" s="23"/>
      <c r="D239" s="23"/>
      <c r="E239" s="23"/>
      <c r="F239" s="23"/>
      <c r="G239" s="23"/>
      <c r="H239" s="24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76"/>
    </row>
    <row r="240" ht="13.5" customHeight="1">
      <c r="A240" s="23"/>
      <c r="B240" s="23"/>
      <c r="C240" s="23"/>
      <c r="D240" s="23"/>
      <c r="E240" s="23"/>
      <c r="F240" s="23"/>
      <c r="G240" s="23"/>
      <c r="H240" s="24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76"/>
    </row>
    <row r="241" ht="13.5" customHeight="1">
      <c r="A241" s="23"/>
      <c r="B241" s="23"/>
      <c r="C241" s="23"/>
      <c r="D241" s="23"/>
      <c r="E241" s="23"/>
      <c r="F241" s="23"/>
      <c r="G241" s="23"/>
      <c r="H241" s="24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76"/>
    </row>
    <row r="242" ht="13.5" customHeight="1">
      <c r="A242" s="23"/>
      <c r="B242" s="23"/>
      <c r="C242" s="23"/>
      <c r="D242" s="23"/>
      <c r="E242" s="23"/>
      <c r="F242" s="23"/>
      <c r="G242" s="23"/>
      <c r="H242" s="24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76"/>
    </row>
    <row r="243" ht="13.5" customHeight="1">
      <c r="A243" s="23"/>
      <c r="B243" s="23"/>
      <c r="C243" s="23"/>
      <c r="D243" s="23"/>
      <c r="E243" s="23"/>
      <c r="F243" s="23"/>
      <c r="G243" s="23"/>
      <c r="H243" s="24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76"/>
    </row>
    <row r="244" ht="13.5" customHeight="1">
      <c r="A244" s="23"/>
      <c r="B244" s="23"/>
      <c r="C244" s="23"/>
      <c r="D244" s="23"/>
      <c r="E244" s="23"/>
      <c r="F244" s="23"/>
      <c r="G244" s="23"/>
      <c r="H244" s="24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76"/>
    </row>
    <row r="245" ht="13.5" customHeight="1">
      <c r="A245" s="23"/>
      <c r="B245" s="23"/>
      <c r="C245" s="23"/>
      <c r="D245" s="23"/>
      <c r="E245" s="23"/>
      <c r="F245" s="23"/>
      <c r="G245" s="23"/>
      <c r="H245" s="24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76"/>
    </row>
    <row r="246" ht="13.5" customHeight="1">
      <c r="A246" s="23"/>
      <c r="B246" s="23"/>
      <c r="C246" s="23"/>
      <c r="D246" s="23"/>
      <c r="E246" s="23"/>
      <c r="F246" s="23"/>
      <c r="G246" s="23"/>
      <c r="H246" s="24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76"/>
    </row>
    <row r="247" ht="13.5" customHeight="1">
      <c r="A247" s="23"/>
      <c r="B247" s="23"/>
      <c r="C247" s="23"/>
      <c r="D247" s="23"/>
      <c r="E247" s="23"/>
      <c r="F247" s="23"/>
      <c r="G247" s="23"/>
      <c r="H247" s="24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76"/>
    </row>
    <row r="248" ht="13.5" customHeight="1">
      <c r="A248" s="23"/>
      <c r="B248" s="23"/>
      <c r="C248" s="23"/>
      <c r="D248" s="23"/>
      <c r="E248" s="23"/>
      <c r="F248" s="23"/>
      <c r="G248" s="23"/>
      <c r="H248" s="24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76"/>
    </row>
    <row r="249" ht="13.5" customHeight="1">
      <c r="A249" s="23"/>
      <c r="B249" s="23"/>
      <c r="C249" s="23"/>
      <c r="D249" s="23"/>
      <c r="E249" s="23"/>
      <c r="F249" s="23"/>
      <c r="G249" s="23"/>
      <c r="H249" s="24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76"/>
    </row>
    <row r="250" ht="13.5" customHeight="1">
      <c r="A250" s="23"/>
      <c r="B250" s="23"/>
      <c r="C250" s="23"/>
      <c r="D250" s="23"/>
      <c r="E250" s="23"/>
      <c r="F250" s="23"/>
      <c r="G250" s="23"/>
      <c r="H250" s="24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76"/>
    </row>
    <row r="251" ht="13.5" customHeight="1">
      <c r="A251" s="23"/>
      <c r="B251" s="23"/>
      <c r="C251" s="23"/>
      <c r="D251" s="23"/>
      <c r="E251" s="23"/>
      <c r="F251" s="23"/>
      <c r="G251" s="23"/>
      <c r="H251" s="24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76"/>
    </row>
    <row r="252" ht="13.5" customHeight="1">
      <c r="A252" s="23"/>
      <c r="B252" s="23"/>
      <c r="C252" s="23"/>
      <c r="D252" s="23"/>
      <c r="E252" s="23"/>
      <c r="F252" s="23"/>
      <c r="G252" s="23"/>
      <c r="H252" s="24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76"/>
    </row>
    <row r="253" ht="13.5" customHeight="1">
      <c r="A253" s="23"/>
      <c r="B253" s="23"/>
      <c r="C253" s="23"/>
      <c r="D253" s="23"/>
      <c r="E253" s="23"/>
      <c r="F253" s="23"/>
      <c r="G253" s="23"/>
      <c r="H253" s="24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76"/>
    </row>
    <row r="254" ht="13.5" customHeight="1">
      <c r="A254" s="23"/>
      <c r="B254" s="23"/>
      <c r="C254" s="23"/>
      <c r="D254" s="23"/>
      <c r="E254" s="23"/>
      <c r="F254" s="23"/>
      <c r="G254" s="23"/>
      <c r="H254" s="24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76"/>
    </row>
    <row r="255" ht="13.5" customHeight="1">
      <c r="A255" s="23"/>
      <c r="B255" s="23"/>
      <c r="C255" s="23"/>
      <c r="D255" s="23"/>
      <c r="E255" s="23"/>
      <c r="F255" s="23"/>
      <c r="G255" s="23"/>
      <c r="H255" s="24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76"/>
    </row>
    <row r="256" ht="13.5" customHeight="1">
      <c r="A256" s="23"/>
      <c r="B256" s="23"/>
      <c r="C256" s="23"/>
      <c r="D256" s="23"/>
      <c r="E256" s="23"/>
      <c r="F256" s="23"/>
      <c r="G256" s="23"/>
      <c r="H256" s="24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76"/>
    </row>
    <row r="257" ht="13.5" customHeight="1">
      <c r="A257" s="23"/>
      <c r="B257" s="23"/>
      <c r="C257" s="23"/>
      <c r="D257" s="23"/>
      <c r="E257" s="23"/>
      <c r="F257" s="23"/>
      <c r="G257" s="23"/>
      <c r="H257" s="24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76"/>
    </row>
    <row r="258" ht="13.5" customHeight="1">
      <c r="A258" s="23"/>
      <c r="B258" s="23"/>
      <c r="C258" s="23"/>
      <c r="D258" s="23"/>
      <c r="E258" s="23"/>
      <c r="F258" s="23"/>
      <c r="G258" s="23"/>
      <c r="H258" s="24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76"/>
    </row>
    <row r="259" ht="13.5" customHeight="1">
      <c r="A259" s="23"/>
      <c r="B259" s="23"/>
      <c r="C259" s="23"/>
      <c r="D259" s="23"/>
      <c r="E259" s="23"/>
      <c r="F259" s="23"/>
      <c r="G259" s="23"/>
      <c r="H259" s="24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76"/>
    </row>
    <row r="260" ht="13.5" customHeight="1">
      <c r="A260" s="23"/>
      <c r="B260" s="23"/>
      <c r="C260" s="23"/>
      <c r="D260" s="23"/>
      <c r="E260" s="23"/>
      <c r="F260" s="23"/>
      <c r="G260" s="23"/>
      <c r="H260" s="24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76"/>
    </row>
    <row r="261" ht="13.5" customHeight="1">
      <c r="A261" s="23"/>
      <c r="B261" s="23"/>
      <c r="C261" s="23"/>
      <c r="D261" s="23"/>
      <c r="E261" s="23"/>
      <c r="F261" s="23"/>
      <c r="G261" s="23"/>
      <c r="H261" s="24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76"/>
    </row>
    <row r="262" ht="13.5" customHeight="1">
      <c r="A262" s="23"/>
      <c r="B262" s="23"/>
      <c r="C262" s="23"/>
      <c r="D262" s="23"/>
      <c r="E262" s="23"/>
      <c r="F262" s="23"/>
      <c r="G262" s="23"/>
      <c r="H262" s="24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76"/>
    </row>
    <row r="263" ht="13.5" customHeight="1">
      <c r="A263" s="23"/>
      <c r="B263" s="23"/>
      <c r="C263" s="23"/>
      <c r="D263" s="23"/>
      <c r="E263" s="23"/>
      <c r="F263" s="23"/>
      <c r="G263" s="23"/>
      <c r="H263" s="24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76"/>
    </row>
    <row r="264" ht="13.5" customHeight="1">
      <c r="A264" s="23"/>
      <c r="B264" s="23"/>
      <c r="C264" s="23"/>
      <c r="D264" s="23"/>
      <c r="E264" s="23"/>
      <c r="F264" s="23"/>
      <c r="G264" s="23"/>
      <c r="H264" s="24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76"/>
    </row>
    <row r="265" ht="13.5" customHeight="1">
      <c r="A265" s="23"/>
      <c r="B265" s="23"/>
      <c r="C265" s="23"/>
      <c r="D265" s="23"/>
      <c r="E265" s="23"/>
      <c r="F265" s="23"/>
      <c r="G265" s="23"/>
      <c r="H265" s="24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76"/>
    </row>
    <row r="266" ht="13.5" customHeight="1">
      <c r="A266" s="23"/>
      <c r="B266" s="23"/>
      <c r="C266" s="23"/>
      <c r="D266" s="23"/>
      <c r="E266" s="23"/>
      <c r="F266" s="23"/>
      <c r="G266" s="23"/>
      <c r="H266" s="24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76"/>
    </row>
    <row r="267" ht="13.5" customHeight="1">
      <c r="A267" s="23"/>
      <c r="B267" s="23"/>
      <c r="C267" s="23"/>
      <c r="D267" s="23"/>
      <c r="E267" s="23"/>
      <c r="F267" s="23"/>
      <c r="G267" s="23"/>
      <c r="H267" s="24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76"/>
    </row>
    <row r="268" ht="13.5" customHeight="1">
      <c r="A268" s="23"/>
      <c r="B268" s="23"/>
      <c r="C268" s="23"/>
      <c r="D268" s="23"/>
      <c r="E268" s="23"/>
      <c r="F268" s="23"/>
      <c r="G268" s="23"/>
      <c r="H268" s="24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76"/>
    </row>
    <row r="269" ht="13.5" customHeight="1">
      <c r="A269" s="23"/>
      <c r="B269" s="23"/>
      <c r="C269" s="23"/>
      <c r="D269" s="23"/>
      <c r="E269" s="23"/>
      <c r="F269" s="23"/>
      <c r="G269" s="23"/>
      <c r="H269" s="24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76"/>
    </row>
    <row r="270" ht="13.5" customHeight="1">
      <c r="A270" s="23"/>
      <c r="B270" s="23"/>
      <c r="C270" s="23"/>
      <c r="D270" s="23"/>
      <c r="E270" s="23"/>
      <c r="F270" s="23"/>
      <c r="G270" s="23"/>
      <c r="H270" s="24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76"/>
    </row>
    <row r="271" ht="13.5" customHeight="1">
      <c r="A271" s="23"/>
      <c r="B271" s="23"/>
      <c r="C271" s="23"/>
      <c r="D271" s="23"/>
      <c r="E271" s="23"/>
      <c r="F271" s="23"/>
      <c r="G271" s="23"/>
      <c r="H271" s="24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76"/>
    </row>
    <row r="272" ht="13.5" customHeight="1">
      <c r="A272" s="23"/>
      <c r="B272" s="23"/>
      <c r="C272" s="23"/>
      <c r="D272" s="23"/>
      <c r="E272" s="23"/>
      <c r="F272" s="23"/>
      <c r="G272" s="23"/>
      <c r="H272" s="24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76"/>
    </row>
    <row r="273" ht="13.5" customHeight="1">
      <c r="A273" s="23"/>
      <c r="B273" s="23"/>
      <c r="C273" s="23"/>
      <c r="D273" s="23"/>
      <c r="E273" s="23"/>
      <c r="F273" s="23"/>
      <c r="G273" s="23"/>
      <c r="H273" s="24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76"/>
    </row>
    <row r="274" ht="13.5" customHeight="1">
      <c r="A274" s="23"/>
      <c r="B274" s="23"/>
      <c r="C274" s="23"/>
      <c r="D274" s="23"/>
      <c r="E274" s="23"/>
      <c r="F274" s="23"/>
      <c r="G274" s="23"/>
      <c r="H274" s="24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76"/>
    </row>
    <row r="275" ht="13.5" customHeight="1">
      <c r="A275" s="23"/>
      <c r="B275" s="23"/>
      <c r="C275" s="23"/>
      <c r="D275" s="23"/>
      <c r="E275" s="23"/>
      <c r="F275" s="23"/>
      <c r="G275" s="23"/>
      <c r="H275" s="24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76"/>
    </row>
    <row r="276" ht="13.5" customHeight="1">
      <c r="A276" s="23"/>
      <c r="B276" s="23"/>
      <c r="C276" s="23"/>
      <c r="D276" s="23"/>
      <c r="E276" s="23"/>
      <c r="F276" s="23"/>
      <c r="G276" s="23"/>
      <c r="H276" s="24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76"/>
    </row>
    <row r="277" ht="13.5" customHeight="1">
      <c r="A277" s="23"/>
      <c r="B277" s="23"/>
      <c r="C277" s="23"/>
      <c r="D277" s="23"/>
      <c r="E277" s="23"/>
      <c r="F277" s="23"/>
      <c r="G277" s="23"/>
      <c r="H277" s="24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76"/>
    </row>
    <row r="278" ht="13.5" customHeight="1">
      <c r="A278" s="23"/>
      <c r="B278" s="23"/>
      <c r="C278" s="23"/>
      <c r="D278" s="23"/>
      <c r="E278" s="23"/>
      <c r="F278" s="23"/>
      <c r="G278" s="23"/>
      <c r="H278" s="24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76"/>
    </row>
    <row r="279" ht="13.5" customHeight="1">
      <c r="A279" s="23"/>
      <c r="B279" s="23"/>
      <c r="C279" s="23"/>
      <c r="D279" s="23"/>
      <c r="E279" s="23"/>
      <c r="F279" s="23"/>
      <c r="G279" s="23"/>
      <c r="H279" s="24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76"/>
    </row>
    <row r="280" ht="13.5" customHeight="1">
      <c r="A280" s="23"/>
      <c r="B280" s="23"/>
      <c r="C280" s="23"/>
      <c r="D280" s="23"/>
      <c r="E280" s="23"/>
      <c r="F280" s="23"/>
      <c r="G280" s="23"/>
      <c r="H280" s="24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76"/>
    </row>
    <row r="281" ht="13.5" customHeight="1">
      <c r="A281" s="23"/>
      <c r="B281" s="23"/>
      <c r="C281" s="23"/>
      <c r="D281" s="23"/>
      <c r="E281" s="23"/>
      <c r="F281" s="23"/>
      <c r="G281" s="23"/>
      <c r="H281" s="24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76"/>
    </row>
    <row r="282" ht="13.5" customHeight="1">
      <c r="A282" s="23"/>
      <c r="B282" s="23"/>
      <c r="C282" s="23"/>
      <c r="D282" s="23"/>
      <c r="E282" s="23"/>
      <c r="F282" s="23"/>
      <c r="G282" s="23"/>
      <c r="H282" s="24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76"/>
    </row>
    <row r="283" ht="13.5" customHeight="1">
      <c r="A283" s="23"/>
      <c r="B283" s="23"/>
      <c r="C283" s="23"/>
      <c r="D283" s="23"/>
      <c r="E283" s="23"/>
      <c r="F283" s="23"/>
      <c r="G283" s="23"/>
      <c r="H283" s="24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76"/>
    </row>
    <row r="284" ht="13.5" customHeight="1">
      <c r="A284" s="23"/>
      <c r="B284" s="23"/>
      <c r="C284" s="23"/>
      <c r="D284" s="23"/>
      <c r="E284" s="23"/>
      <c r="F284" s="23"/>
      <c r="G284" s="23"/>
      <c r="H284" s="24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76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6:B7"/>
    <mergeCell ref="C6:C7"/>
    <mergeCell ref="D6:E7"/>
    <mergeCell ref="F6:G6"/>
    <mergeCell ref="F7:G7"/>
    <mergeCell ref="A2:C2"/>
    <mergeCell ref="A3:C3"/>
    <mergeCell ref="A4:A5"/>
    <mergeCell ref="B4:B5"/>
    <mergeCell ref="C4:C5"/>
    <mergeCell ref="D4:H4"/>
    <mergeCell ref="A6:A7"/>
    <mergeCell ref="A37:B37"/>
    <mergeCell ref="A52:H52"/>
    <mergeCell ref="A59:B59"/>
    <mergeCell ref="C59:H59"/>
    <mergeCell ref="A75:H75"/>
    <mergeCell ref="A80:H80"/>
    <mergeCell ref="A81:H81"/>
    <mergeCell ref="A84:H84"/>
    <mergeCell ref="H6:H7"/>
    <mergeCell ref="A31:H31"/>
    <mergeCell ref="A32:B32"/>
    <mergeCell ref="C32:H32"/>
    <mergeCell ref="A33:B33"/>
    <mergeCell ref="A35:B35"/>
    <mergeCell ref="A36:B36"/>
  </mergeCells>
  <printOptions/>
  <pageMargins bottom="0.0" footer="0.0" header="0.0" left="0.1968503937007874" right="0.0" top="0.1968503937007874"/>
  <pageSetup paperSize="9" orientation="portrait"/>
  <drawing r:id="rId1"/>
</worksheet>
</file>